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\Downloads\"/>
    </mc:Choice>
  </mc:AlternateContent>
  <xr:revisionPtr revIDLastSave="0" documentId="13_ncr:1_{7F99894B-D6EF-4E4F-8E4B-96065AD86423}" xr6:coauthVersionLast="47" xr6:coauthVersionMax="47" xr10:uidLastSave="{00000000-0000-0000-0000-000000000000}"/>
  <bookViews>
    <workbookView xWindow="-120" yWindow="-120" windowWidth="29040" windowHeight="1572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C46" i="3"/>
  <c r="C36" i="3"/>
</calcChain>
</file>

<file path=xl/sharedStrings.xml><?xml version="1.0" encoding="utf-8"?>
<sst xmlns="http://schemas.openxmlformats.org/spreadsheetml/2006/main" count="2027" uniqueCount="324">
  <si>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</si>
  <si>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</si>
  <si>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</si>
  <si>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</si>
  <si>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</si>
  <si>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</si>
  <si>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</si>
  <si>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</si>
  <si>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</si>
  <si>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</si>
  <si>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</si>
  <si>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</si>
  <si>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</si>
  <si>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</si>
  <si>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</si>
  <si>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</si>
  <si>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</si>
  <si>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</si>
  <si>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</si>
  <si>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</si>
  <si>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</si>
  <si>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</si>
  <si>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</si>
  <si>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</si>
  <si>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</si>
  <si>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</si>
  <si>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</si>
  <si>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</si>
  <si>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</si>
  <si>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</si>
  <si>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</si>
  <si>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</si>
  <si>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</si>
  <si>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</si>
  <si>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</si>
  <si>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</si>
  <si>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</si>
  <si>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</si>
  <si>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</si>
  <si>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</si>
  <si>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</si>
  <si>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</si>
  <si>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</si>
  <si>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</si>
  <si>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</si>
  <si>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</si>
  <si>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</si>
  <si>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</si>
  <si>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</si>
  <si>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</si>
  <si>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</si>
  <si>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</si>
  <si>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</si>
  <si>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</si>
  <si>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</si>
  <si>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</si>
  <si>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</si>
  <si>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</si>
  <si>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</si>
  <si>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</si>
  <si>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</si>
  <si>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</si>
  <si>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</si>
  <si>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</si>
  <si>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</si>
  <si>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</si>
  <si>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</si>
  <si>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</si>
  <si>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</si>
  <si>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</si>
  <si>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</si>
  <si>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</si>
  <si>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</si>
  <si>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</si>
  <si>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</si>
  <si>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</si>
  <si>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</si>
  <si>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</si>
  <si>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</si>
  <si>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</si>
  <si>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</si>
  <si>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</si>
  <si>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</si>
  <si>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</si>
  <si>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</si>
  <si>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</si>
  <si>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</si>
  <si>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</si>
  <si>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</si>
  <si>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</si>
  <si>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</si>
  <si>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</si>
  <si>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</si>
  <si>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</si>
  <si>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</si>
  <si>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</si>
  <si>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</si>
  <si>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</si>
  <si>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</si>
  <si>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</si>
  <si>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</si>
  <si>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</si>
  <si>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</si>
  <si>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</si>
  <si>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</si>
  <si>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</si>
  <si>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</si>
  <si>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</si>
  <si>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</si>
  <si>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</si>
  <si>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</si>
  <si>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</si>
  <si>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</si>
  <si>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</si>
  <si>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</si>
  <si>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</si>
  <si>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</si>
  <si>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</si>
  <si>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</si>
  <si>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</si>
  <si>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</si>
  <si>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</si>
  <si>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</si>
  <si>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</si>
  <si>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</si>
  <si>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</si>
  <si>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</si>
  <si>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</si>
  <si>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</si>
  <si>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</si>
  <si>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</si>
  <si>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</si>
  <si>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</si>
  <si>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</si>
  <si>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</si>
  <si>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</si>
  <si>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</si>
  <si>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</si>
  <si>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</si>
  <si>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</si>
  <si>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</si>
  <si>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</si>
  <si>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</si>
  <si>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</si>
  <si>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</si>
  <si>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</si>
  <si>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</si>
  <si>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</si>
  <si>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</si>
  <si>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</si>
  <si>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</si>
  <si>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</si>
  <si>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</si>
  <si>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</si>
  <si>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</si>
  <si>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</si>
  <si>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</si>
  <si>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</si>
  <si>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</si>
  <si>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</si>
  <si>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</si>
  <si>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</si>
  <si>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</si>
  <si>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</si>
  <si>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</si>
  <si>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</si>
  <si>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</si>
  <si>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</si>
  <si>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</si>
  <si>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</si>
  <si>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</si>
  <si>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</si>
  <si>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</si>
  <si>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</si>
  <si>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</si>
  <si>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</si>
  <si>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</si>
  <si>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</si>
  <si>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</si>
  <si>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</si>
  <si>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</si>
  <si>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</si>
  <si>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</si>
  <si>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</si>
  <si>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</si>
  <si>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</si>
  <si>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</si>
  <si>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</si>
  <si>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</si>
  <si>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</si>
  <si>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</si>
  <si>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</si>
  <si>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</si>
  <si>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</si>
  <si>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</si>
  <si>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</si>
  <si>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</si>
  <si>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</si>
  <si>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</si>
  <si>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</si>
  <si>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</si>
  <si>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</si>
  <si>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</si>
  <si>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</si>
  <si>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</si>
  <si>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</si>
  <si>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</si>
  <si>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</si>
  <si>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</si>
  <si>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</si>
  <si>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</si>
  <si>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</si>
  <si>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</si>
  <si>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</si>
  <si>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</si>
  <si>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</si>
  <si>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</si>
  <si>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</si>
  <si>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</si>
  <si>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</si>
  <si>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</si>
  <si>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</si>
  <si>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</si>
  <si>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</si>
  <si>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</si>
  <si>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</si>
  <si>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</si>
  <si>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</si>
  <si>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</si>
  <si>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</si>
  <si>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</si>
  <si>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</si>
  <si>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</si>
  <si>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</si>
  <si>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</si>
  <si>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</si>
  <si>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</si>
  <si>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</si>
  <si>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</si>
  <si>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</si>
  <si>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</si>
  <si>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</si>
  <si>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</si>
  <si>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</si>
  <si>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</si>
  <si>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</si>
  <si>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</si>
  <si>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</si>
  <si>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</si>
  <si>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</si>
  <si>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</si>
  <si>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</si>
  <si>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</si>
  <si>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</si>
  <si>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</si>
  <si>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</si>
  <si>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</si>
  <si>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</si>
  <si>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</si>
  <si>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</si>
  <si>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</si>
  <si>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</si>
  <si>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</si>
  <si>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</si>
  <si>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</si>
  <si>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</si>
  <si>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</si>
  <si>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</si>
  <si>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</si>
  <si>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</si>
  <si>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</si>
  <si>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</si>
  <si>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</si>
  <si>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</si>
  <si>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</si>
  <si>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</si>
  <si>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</si>
  <si>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</si>
  <si>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</si>
  <si>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</si>
  <si>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</si>
  <si>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</si>
  <si>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</si>
  <si>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</si>
  <si>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</si>
  <si>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</si>
  <si>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</si>
  <si>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</si>
  <si>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</si>
  <si>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</si>
  <si>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</si>
  <si>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</si>
  <si>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</si>
  <si>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</si>
  <si>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</si>
  <si>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</si>
  <si>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</si>
  <si>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</si>
  <si>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</si>
  <si>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</si>
  <si>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</si>
  <si>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</si>
  <si>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</si>
  <si>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</si>
  <si>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</si>
  <si>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</si>
  <si>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</si>
  <si>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</si>
  <si>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</si>
  <si>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</si>
  <si>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</si>
  <si>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</si>
  <si>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</si>
  <si>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</si>
  <si>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</si>
  <si>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</si>
  <si>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Qual faturamento total de vendas de planos anuais (contendo todas as assinaturas agregadas)</t>
  </si>
  <si>
    <t>Qual faturamento total de vendas de planos anuais, separado por auto renovação e não é por auto renovação</t>
  </si>
  <si>
    <t>XBOX GAME PASS SUBSCRIPTIONS SALES</t>
  </si>
  <si>
    <t>Total de vendas de assinaturas da EA Play</t>
  </si>
  <si>
    <t>Soma de EA Play Season Pass
Price</t>
  </si>
  <si>
    <t>Soma de Minecraft Season Pass Price</t>
  </si>
  <si>
    <t>Total de vendas de assinaturas do Minecraft Season Pass</t>
  </si>
  <si>
    <t>Calculation period: 01/01/2024 - 31/12/2024 | Update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</si>
</sst>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9BC848"/>
      <name val="Aptos Narrow"/>
      <family val="2"/>
      <scheme val="minor"/>
    </font>
    <font>
      <b/>
      <sz val="20"/>
      <color rgb="FF5BF6A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9BC84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0" applyFont="1" applyBorder="1" applyAlignment="1">
      <alignment vertical="center"/>
    </xf>
    <xf numFmtId="0" fontId="0" fillId="0" borderId="0" xfId="0" applyNumberFormat="1"/>
    <xf numFmtId="165" fontId="0" fillId="0" borderId="0" xfId="2" applyNumberFormat="1" applyFont="1"/>
    <xf numFmtId="0" fontId="5" fillId="0" borderId="2" xfId="0" applyFont="1" applyBorder="1" applyAlignment="1">
      <alignment vertical="center"/>
    </xf>
    <xf numFmtId="0" fontId="0" fillId="7" borderId="0" xfId="0" applyFill="1" applyAlignment="1">
      <alignment horizontal="left" vertical="center"/>
    </xf>
    <xf numFmtId="22" fontId="0" fillId="7" borderId="0" xfId="0" applyNumberFormat="1" applyFill="1" applyAlignment="1">
      <alignment horizontal="left" vertical="center"/>
    </xf>
    <xf numFmtId="0" fontId="0" fillId="7" borderId="0" xfId="0" applyFill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5A0C34D9-223B-4F34-8273-A5741477BFB1}">
      <tableStyleElement type="wholeTable" dxfId="1"/>
      <tableStyleElement type="headerRow" dxfId="0"/>
    </tableStyle>
  </tableStyles>
  <colors>
    <mruColors>
      <color rgb="FF9BC848"/>
      <color rgb="FFE8E6E9"/>
      <color rgb="FF22C55E"/>
      <color rgb="FF2AE6B1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5117038483843"/>
              <bgColor rgb="FFE8E6E9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rgb="FF9BC848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XBox.xlsx]C̳álculos!tbl_annual_total_rnw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C̳álculos!$A$18:$A$20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C̳álculos!$B$18:$B$20</c:f>
              <c:numCache>
                <c:formatCode>_("R$"* #,##0.00_);_("R$"* \(#,##0.00\);_("R$"* "-"??_);_(@_)</c:formatCode>
                <c:ptCount val="2"/>
                <c:pt idx="0">
                  <c:v>1537</c:v>
                </c:pt>
                <c:pt idx="1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2-403D-9A08-C4D2E0114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59856"/>
        <c:axId val="16153616"/>
      </c:barChart>
      <c:catAx>
        <c:axId val="1615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53616"/>
        <c:crosses val="autoZero"/>
        <c:auto val="1"/>
        <c:lblAlgn val="ctr"/>
        <c:lblOffset val="100"/>
        <c:noMultiLvlLbl val="0"/>
      </c:catAx>
      <c:valAx>
        <c:axId val="1615361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15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XBox.xlsx]C̳álculos!tbl_annual_total_rnw</c:name>
    <c:fmtId val="2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C̳álculos!$A$18:$A$20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C̳álculos!$B$18:$B$20</c:f>
              <c:numCache>
                <c:formatCode>_("R$"* #,##0.00_);_("R$"* \(#,##0.00\);_("R$"* "-"??_);_(@_)</c:formatCode>
                <c:ptCount val="2"/>
                <c:pt idx="0">
                  <c:v>1537</c:v>
                </c:pt>
                <c:pt idx="1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3-455E-B334-C7F66F732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59856"/>
        <c:axId val="16153616"/>
      </c:barChart>
      <c:catAx>
        <c:axId val="1615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53616"/>
        <c:crosses val="autoZero"/>
        <c:auto val="1"/>
        <c:lblAlgn val="ctr"/>
        <c:lblOffset val="100"/>
        <c:noMultiLvlLbl val="0"/>
      </c:catAx>
      <c:valAx>
        <c:axId val="1615361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15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chart" Target="../charts/chart2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885825</xdr:colOff>
      <xdr:row>13</xdr:row>
      <xdr:rowOff>157162</xdr:rowOff>
    </xdr:from>
    <xdr:to>
      <xdr:col>6</xdr:col>
      <xdr:colOff>1724025</xdr:colOff>
      <xdr:row>28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0452B1-F527-BD0D-F98D-F02D929AE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85725</xdr:colOff>
      <xdr:row>14</xdr:row>
      <xdr:rowOff>47625</xdr:rowOff>
    </xdr:from>
    <xdr:to>
      <xdr:col>2</xdr:col>
      <xdr:colOff>1914525</xdr:colOff>
      <xdr:row>21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3F95393A-99DC-A171-A3AB-B42C256082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38575" y="2714625"/>
              <a:ext cx="1828800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165131</xdr:colOff>
      <xdr:row>0</xdr:row>
      <xdr:rowOff>123825</xdr:rowOff>
    </xdr:from>
    <xdr:to>
      <xdr:col>2</xdr:col>
      <xdr:colOff>552450</xdr:colOff>
      <xdr:row>2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F5B047-23CE-472E-8A2E-ECCC9B9EB8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44" t="26390" r="74111" b="26938"/>
        <a:stretch/>
      </xdr:blipFill>
      <xdr:spPr>
        <a:xfrm>
          <a:off x="2012981" y="123825"/>
          <a:ext cx="625444" cy="619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11</xdr:row>
      <xdr:rowOff>23812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E5B02565-6C85-4597-B07B-4F3C2E1FA4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47750"/>
              <a:ext cx="1847850" cy="12620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</xdr:colOff>
      <xdr:row>6</xdr:row>
      <xdr:rowOff>0</xdr:rowOff>
    </xdr:from>
    <xdr:to>
      <xdr:col>7</xdr:col>
      <xdr:colOff>1</xdr:colOff>
      <xdr:row>11</xdr:row>
      <xdr:rowOff>142875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9F34989F-8023-8780-581C-2FB859440396}"/>
            </a:ext>
          </a:extLst>
        </xdr:cNvPr>
        <xdr:cNvGrpSpPr/>
      </xdr:nvGrpSpPr>
      <xdr:grpSpPr>
        <a:xfrm>
          <a:off x="2085976" y="1476375"/>
          <a:ext cx="3048000" cy="952500"/>
          <a:chOff x="2085976" y="1247776"/>
          <a:chExt cx="3048000" cy="1028700"/>
        </a:xfrm>
      </xdr:grpSpPr>
      <xdr:sp macro="" textlink="C̳álculos!C36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50ACAA8E-D342-6C35-587E-126340D8C887}"/>
              </a:ext>
            </a:extLst>
          </xdr:cNvPr>
          <xdr:cNvSpPr/>
        </xdr:nvSpPr>
        <xdr:spPr>
          <a:xfrm>
            <a:off x="2085976" y="1247776"/>
            <a:ext cx="3048000" cy="10287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8CF3E9BF-ED62-469E-99A1-1DC757B0CD3D}" type="TxLink">
              <a:rPr lang="en-US" sz="3200" b="0" i="0" u="none" strike="noStrike">
                <a:solidFill>
                  <a:srgbClr val="9BC848"/>
                </a:solidFill>
                <a:latin typeface="Aptos Narrow"/>
              </a:rPr>
              <a:pPr algn="r"/>
              <a:t>R$ 600,00</a:t>
            </a:fld>
            <a:endParaRPr lang="pt-BR" sz="3200">
              <a:solidFill>
                <a:srgbClr val="9BC848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C21D01F3-42DF-4449-A082-540AE8DC841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1250" b="32813"/>
          <a:stretch/>
        </xdr:blipFill>
        <xdr:spPr>
          <a:xfrm>
            <a:off x="2143125" y="1771650"/>
            <a:ext cx="901148" cy="32385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47933C8A-5930-CC9A-242C-B98E45E71DB4}"/>
              </a:ext>
            </a:extLst>
          </xdr:cNvPr>
          <xdr:cNvSpPr/>
        </xdr:nvSpPr>
        <xdr:spPr>
          <a:xfrm>
            <a:off x="2085976" y="1247776"/>
            <a:ext cx="3048000" cy="34290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ysClr val="windowText" lastClr="000000"/>
                </a:solidFill>
              </a:rPr>
              <a:t>TOTAL</a:t>
            </a:r>
            <a:r>
              <a:rPr lang="pt-BR" sz="1100" b="1" baseline="0">
                <a:solidFill>
                  <a:sysClr val="windowText" lastClr="000000"/>
                </a:solidFill>
              </a:rPr>
              <a:t> SUBSCRIPTIONS EA PLAY SEASON PASS</a:t>
            </a:r>
            <a:endParaRPr lang="pt-BR" sz="11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</xdr:col>
      <xdr:colOff>285749</xdr:colOff>
      <xdr:row>5</xdr:row>
      <xdr:rowOff>133349</xdr:rowOff>
    </xdr:from>
    <xdr:to>
      <xdr:col>13</xdr:col>
      <xdr:colOff>0</xdr:colOff>
      <xdr:row>11</xdr:row>
      <xdr:rowOff>142874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9585E240-73B3-FEF6-B409-E99B428F5306}"/>
            </a:ext>
          </a:extLst>
        </xdr:cNvPr>
        <xdr:cNvGrpSpPr/>
      </xdr:nvGrpSpPr>
      <xdr:grpSpPr>
        <a:xfrm>
          <a:off x="5419724" y="1476374"/>
          <a:ext cx="3629026" cy="952500"/>
          <a:chOff x="5743574" y="1247775"/>
          <a:chExt cx="3200401" cy="102870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82BB489D-71FF-4883-9992-2F382DBDBF0D}"/>
              </a:ext>
            </a:extLst>
          </xdr:cNvPr>
          <xdr:cNvGrpSpPr/>
        </xdr:nvGrpSpPr>
        <xdr:grpSpPr>
          <a:xfrm>
            <a:off x="5743574" y="1247775"/>
            <a:ext cx="3200401" cy="1028700"/>
            <a:chOff x="2085976" y="1247776"/>
            <a:chExt cx="3048000" cy="1028700"/>
          </a:xfrm>
        </xdr:grpSpPr>
        <xdr:sp macro="" textlink="C̳álculos!C46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BBED9ABA-800A-3071-2120-B279FE345139}"/>
                </a:ext>
              </a:extLst>
            </xdr:cNvPr>
            <xdr:cNvSpPr/>
          </xdr:nvSpPr>
          <xdr:spPr>
            <a:xfrm>
              <a:off x="2085976" y="1247776"/>
              <a:ext cx="3048000" cy="10287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r"/>
              <a:fld id="{D213D961-02C6-4D32-B48B-12CB7964DEEC}" type="TxLink">
                <a:rPr lang="en-US" sz="3200" b="0" i="0" u="none" strike="noStrike">
                  <a:solidFill>
                    <a:srgbClr val="9BC848"/>
                  </a:solidFill>
                  <a:latin typeface="Aptos Narrow"/>
                </a:rPr>
                <a:t>R$ 940,00</a:t>
              </a:fld>
              <a:endParaRPr lang="pt-BR" sz="7200">
                <a:solidFill>
                  <a:srgbClr val="9BC848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7FD21C92-437B-E7F2-38D8-F1394B766CA5}"/>
                </a:ext>
              </a:extLst>
            </xdr:cNvPr>
            <xdr:cNvSpPr/>
          </xdr:nvSpPr>
          <xdr:spPr>
            <a:xfrm>
              <a:off x="2085976" y="1247776"/>
              <a:ext cx="3048000" cy="34290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9BC84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ysClr val="windowText" lastClr="000000"/>
                  </a:solidFill>
                </a:rPr>
                <a:t>TOTAL</a:t>
              </a:r>
              <a:r>
                <a:rPr lang="pt-BR" sz="1100" b="1" baseline="0">
                  <a:solidFill>
                    <a:sysClr val="windowText" lastClr="000000"/>
                  </a:solidFill>
                </a:rPr>
                <a:t> SUBSCRIPTIONS MINECRAFT SEASON PASS</a:t>
              </a:r>
              <a:endParaRPr lang="pt-BR" sz="1100" b="1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1BD7472E-8F34-45BB-B47B-B23EE2E39476}"/>
              </a:ext>
            </a:extLst>
          </xdr:cNvPr>
          <xdr:cNvGrpSpPr>
            <a:grpSpLocks noChangeAspect="1"/>
          </xdr:cNvGrpSpPr>
        </xdr:nvGrpSpPr>
        <xdr:grpSpPr>
          <a:xfrm>
            <a:off x="5810250" y="1704975"/>
            <a:ext cx="952500" cy="462565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927F2D99-D760-A647-89EF-784E5593C7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A26FD477-215C-1503-916C-6FED903957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590550</xdr:colOff>
      <xdr:row>0</xdr:row>
      <xdr:rowOff>114300</xdr:rowOff>
    </xdr:from>
    <xdr:to>
      <xdr:col>0</xdr:col>
      <xdr:colOff>1249769</xdr:colOff>
      <xdr:row>2</xdr:row>
      <xdr:rowOff>104775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356FC8CC-E413-43DA-AE3E-816B0BFF5177}"/>
            </a:ext>
          </a:extLst>
        </xdr:cNvPr>
        <xdr:cNvSpPr>
          <a:spLocks noChangeAspect="1"/>
        </xdr:cNvSpPr>
      </xdr:nvSpPr>
      <xdr:spPr>
        <a:xfrm>
          <a:off x="590550" y="114300"/>
          <a:ext cx="659219" cy="60960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0</xdr:colOff>
      <xdr:row>12</xdr:row>
      <xdr:rowOff>171449</xdr:rowOff>
    </xdr:from>
    <xdr:to>
      <xdr:col>13</xdr:col>
      <xdr:colOff>0</xdr:colOff>
      <xdr:row>29</xdr:row>
      <xdr:rowOff>114299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773A1F18-8F62-2C2E-CE08-889A6DC1D2DB}"/>
            </a:ext>
          </a:extLst>
        </xdr:cNvPr>
        <xdr:cNvGrpSpPr/>
      </xdr:nvGrpSpPr>
      <xdr:grpSpPr>
        <a:xfrm>
          <a:off x="2085975" y="2647949"/>
          <a:ext cx="6962775" cy="3181350"/>
          <a:chOff x="2176462" y="2495550"/>
          <a:chExt cx="6534150" cy="3181350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D1D2E706-84B1-93C7-6AB1-86CF4CCB6584}"/>
              </a:ext>
            </a:extLst>
          </xdr:cNvPr>
          <xdr:cNvGrpSpPr/>
        </xdr:nvGrpSpPr>
        <xdr:grpSpPr>
          <a:xfrm>
            <a:off x="2176462" y="2495550"/>
            <a:ext cx="6534150" cy="3181350"/>
            <a:chOff x="2781300" y="1514475"/>
            <a:chExt cx="4953000" cy="318135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BE044A88-90D6-5FAC-8136-E2ADDE76A328}"/>
                </a:ext>
              </a:extLst>
            </xdr:cNvPr>
            <xdr:cNvSpPr/>
          </xdr:nvSpPr>
          <xdr:spPr>
            <a:xfrm>
              <a:off x="2781300" y="1514475"/>
              <a:ext cx="4953000" cy="3181350"/>
            </a:xfrm>
            <a:prstGeom prst="roundRect">
              <a:avLst>
                <a:gd name="adj" fmla="val 529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8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6C9CC69-7BA3-4855-9841-C410A1562704}"/>
                </a:ext>
              </a:extLst>
            </xdr:cNvPr>
            <xdr:cNvGraphicFramePr>
              <a:graphicFrameLocks/>
            </xdr:cNvGraphicFramePr>
          </xdr:nvGraphicFramePr>
          <xdr:xfrm>
            <a:off x="2942919" y="1943100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A5877ACB-20CE-4508-B3F7-A464FDFAF31C}"/>
              </a:ext>
            </a:extLst>
          </xdr:cNvPr>
          <xdr:cNvSpPr/>
        </xdr:nvSpPr>
        <xdr:spPr>
          <a:xfrm>
            <a:off x="2176462" y="2495550"/>
            <a:ext cx="6534150" cy="34290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ysClr val="windowText" lastClr="000000"/>
                </a:solidFill>
              </a:rPr>
              <a:t>TOTAL</a:t>
            </a:r>
            <a:r>
              <a:rPr lang="pt-BR" sz="1100" b="1" baseline="0">
                <a:solidFill>
                  <a:sysClr val="windowText" lastClr="000000"/>
                </a:solidFill>
              </a:rPr>
              <a:t> SUBSCRIPTIONS MINECRAFT SEASON PASS</a:t>
            </a:r>
            <a:endParaRPr lang="pt-BR" sz="11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314325</xdr:colOff>
      <xdr:row>2</xdr:row>
      <xdr:rowOff>95251</xdr:rowOff>
    </xdr:from>
    <xdr:to>
      <xdr:col>0</xdr:col>
      <xdr:colOff>1838325</xdr:colOff>
      <xdr:row>3</xdr:row>
      <xdr:rowOff>19050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D7C0CAE6-CF21-107B-2B68-2C79F235C529}"/>
            </a:ext>
          </a:extLst>
        </xdr:cNvPr>
        <xdr:cNvSpPr/>
      </xdr:nvSpPr>
      <xdr:spPr>
        <a:xfrm>
          <a:off x="314325" y="714376"/>
          <a:ext cx="1524000" cy="3524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Bem</a:t>
          </a:r>
          <a:r>
            <a:rPr lang="pt-BR" sz="1100" baseline="0"/>
            <a:t> vindo, Renan!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n Siqueira" refreshedDate="45760.891030555555" createdVersion="8" refreshedVersion="8" minRefreshableVersion="3" recordCount="295" xr:uid="{17C5D8FB-C553-4D9A-8C9F-2E1FAB0EF75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016633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x v="0"/>
    <n v="20"/>
    <n v="5"/>
    <n v="60"/>
  </r>
  <r>
    <n v="3232"/>
    <x v="1"/>
    <x v="1"/>
    <d v="2024-01-15T00:00:00"/>
    <x v="1"/>
    <n v="5"/>
    <x v="1"/>
    <x v="1"/>
    <s v="-"/>
    <x v="1"/>
    <n v="0"/>
    <n v="0"/>
    <n v="5"/>
  </r>
  <r>
    <n v="3233"/>
    <x v="2"/>
    <x v="2"/>
    <d v="2024-02-10T00:00:00"/>
    <x v="0"/>
    <n v="10"/>
    <x v="2"/>
    <x v="1"/>
    <s v="-"/>
    <x v="0"/>
    <n v="20"/>
    <n v="10"/>
    <n v="20"/>
  </r>
  <r>
    <n v="3234"/>
    <x v="3"/>
    <x v="0"/>
    <d v="2024-02-20T00:00:00"/>
    <x v="1"/>
    <n v="15"/>
    <x v="0"/>
    <x v="0"/>
    <n v="30"/>
    <x v="0"/>
    <n v="20"/>
    <n v="3"/>
    <n v="62"/>
  </r>
  <r>
    <n v="3235"/>
    <x v="4"/>
    <x v="1"/>
    <d v="2024-03-05T00:00:00"/>
    <x v="0"/>
    <n v="5"/>
    <x v="0"/>
    <x v="1"/>
    <s v="-"/>
    <x v="1"/>
    <n v="0"/>
    <n v="1"/>
    <n v="4"/>
  </r>
  <r>
    <n v="3236"/>
    <x v="5"/>
    <x v="2"/>
    <d v="2024-03-02T00:00:00"/>
    <x v="1"/>
    <n v="10"/>
    <x v="0"/>
    <x v="1"/>
    <s v="-"/>
    <x v="0"/>
    <n v="20"/>
    <n v="2"/>
    <n v="28"/>
  </r>
  <r>
    <n v="3237"/>
    <x v="6"/>
    <x v="0"/>
    <d v="2024-03-03T00:00:00"/>
    <x v="0"/>
    <n v="15"/>
    <x v="2"/>
    <x v="0"/>
    <n v="30"/>
    <x v="0"/>
    <n v="20"/>
    <n v="10"/>
    <n v="55"/>
  </r>
  <r>
    <n v="3238"/>
    <x v="7"/>
    <x v="1"/>
    <d v="2024-03-04T00:00:00"/>
    <x v="0"/>
    <n v="5"/>
    <x v="1"/>
    <x v="1"/>
    <s v="-"/>
    <x v="1"/>
    <n v="0"/>
    <n v="0"/>
    <n v="5"/>
  </r>
  <r>
    <n v="3239"/>
    <x v="8"/>
    <x v="0"/>
    <d v="2024-03-05T00:00:00"/>
    <x v="1"/>
    <n v="15"/>
    <x v="0"/>
    <x v="0"/>
    <n v="30"/>
    <x v="0"/>
    <n v="20"/>
    <n v="5"/>
    <n v="60"/>
  </r>
  <r>
    <n v="3240"/>
    <x v="9"/>
    <x v="2"/>
    <d v="2024-03-06T00:00:00"/>
    <x v="0"/>
    <n v="10"/>
    <x v="2"/>
    <x v="1"/>
    <s v="-"/>
    <x v="0"/>
    <n v="20"/>
    <n v="15"/>
    <n v="15"/>
  </r>
  <r>
    <n v="3241"/>
    <x v="10"/>
    <x v="1"/>
    <d v="2024-03-07T00:00:00"/>
    <x v="1"/>
    <n v="5"/>
    <x v="0"/>
    <x v="1"/>
    <s v="-"/>
    <x v="1"/>
    <n v="0"/>
    <n v="1"/>
    <n v="4"/>
  </r>
  <r>
    <n v="3242"/>
    <x v="11"/>
    <x v="0"/>
    <d v="2024-03-08T00:00:00"/>
    <x v="0"/>
    <n v="15"/>
    <x v="1"/>
    <x v="0"/>
    <n v="30"/>
    <x v="0"/>
    <n v="20"/>
    <n v="20"/>
    <n v="45"/>
  </r>
  <r>
    <n v="3243"/>
    <x v="12"/>
    <x v="2"/>
    <d v="2024-03-09T00:00:00"/>
    <x v="1"/>
    <n v="10"/>
    <x v="0"/>
    <x v="1"/>
    <s v="-"/>
    <x v="0"/>
    <n v="20"/>
    <n v="10"/>
    <n v="20"/>
  </r>
  <r>
    <n v="3244"/>
    <x v="13"/>
    <x v="1"/>
    <d v="2024-03-10T00:00:00"/>
    <x v="0"/>
    <n v="5"/>
    <x v="2"/>
    <x v="1"/>
    <s v="-"/>
    <x v="1"/>
    <n v="0"/>
    <n v="0"/>
    <n v="5"/>
  </r>
  <r>
    <n v="3245"/>
    <x v="14"/>
    <x v="0"/>
    <d v="2024-03-11T00:00:00"/>
    <x v="1"/>
    <n v="15"/>
    <x v="0"/>
    <x v="0"/>
    <n v="30"/>
    <x v="0"/>
    <n v="20"/>
    <n v="8"/>
    <n v="57"/>
  </r>
  <r>
    <n v="3246"/>
    <x v="15"/>
    <x v="2"/>
    <d v="2024-03-12T00:00:00"/>
    <x v="0"/>
    <n v="10"/>
    <x v="1"/>
    <x v="1"/>
    <s v="-"/>
    <x v="0"/>
    <n v="20"/>
    <n v="12"/>
    <n v="18"/>
  </r>
  <r>
    <n v="3247"/>
    <x v="16"/>
    <x v="1"/>
    <d v="2024-03-13T00:00:00"/>
    <x v="1"/>
    <n v="5"/>
    <x v="0"/>
    <x v="1"/>
    <s v="-"/>
    <x v="1"/>
    <n v="0"/>
    <n v="2"/>
    <n v="3"/>
  </r>
  <r>
    <n v="3248"/>
    <x v="17"/>
    <x v="0"/>
    <d v="2024-03-14T00:00:00"/>
    <x v="0"/>
    <n v="15"/>
    <x v="2"/>
    <x v="0"/>
    <n v="30"/>
    <x v="0"/>
    <n v="20"/>
    <n v="7"/>
    <n v="58"/>
  </r>
  <r>
    <n v="3249"/>
    <x v="18"/>
    <x v="2"/>
    <d v="2024-03-15T00:00:00"/>
    <x v="1"/>
    <n v="10"/>
    <x v="0"/>
    <x v="1"/>
    <s v="-"/>
    <x v="0"/>
    <n v="20"/>
    <n v="5"/>
    <n v="25"/>
  </r>
  <r>
    <n v="3250"/>
    <x v="19"/>
    <x v="1"/>
    <d v="2024-03-16T00:00:00"/>
    <x v="0"/>
    <n v="5"/>
    <x v="1"/>
    <x v="1"/>
    <s v="-"/>
    <x v="1"/>
    <n v="0"/>
    <n v="0"/>
    <n v="5"/>
  </r>
  <r>
    <n v="3251"/>
    <x v="20"/>
    <x v="0"/>
    <d v="2024-03-17T00:00:00"/>
    <x v="1"/>
    <n v="15"/>
    <x v="0"/>
    <x v="0"/>
    <n v="30"/>
    <x v="0"/>
    <n v="20"/>
    <n v="3"/>
    <n v="62"/>
  </r>
  <r>
    <n v="3252"/>
    <x v="21"/>
    <x v="2"/>
    <d v="2024-03-18T00:00:00"/>
    <x v="0"/>
    <n v="10"/>
    <x v="2"/>
    <x v="1"/>
    <s v="-"/>
    <x v="0"/>
    <n v="20"/>
    <n v="15"/>
    <n v="15"/>
  </r>
  <r>
    <n v="3253"/>
    <x v="22"/>
    <x v="1"/>
    <d v="2024-03-19T00:00:00"/>
    <x v="1"/>
    <n v="5"/>
    <x v="0"/>
    <x v="1"/>
    <s v="-"/>
    <x v="1"/>
    <n v="0"/>
    <n v="1"/>
    <n v="4"/>
  </r>
  <r>
    <n v="3254"/>
    <x v="23"/>
    <x v="0"/>
    <d v="2024-03-20T00:00:00"/>
    <x v="0"/>
    <n v="15"/>
    <x v="1"/>
    <x v="0"/>
    <n v="30"/>
    <x v="0"/>
    <n v="20"/>
    <n v="20"/>
    <n v="45"/>
  </r>
  <r>
    <n v="3255"/>
    <x v="24"/>
    <x v="2"/>
    <d v="2024-03-21T00:00:00"/>
    <x v="1"/>
    <n v="10"/>
    <x v="0"/>
    <x v="1"/>
    <s v="-"/>
    <x v="0"/>
    <n v="20"/>
    <n v="10"/>
    <n v="20"/>
  </r>
  <r>
    <n v="3256"/>
    <x v="25"/>
    <x v="1"/>
    <d v="2024-03-22T00:00:00"/>
    <x v="0"/>
    <n v="5"/>
    <x v="2"/>
    <x v="1"/>
    <s v="-"/>
    <x v="1"/>
    <n v="0"/>
    <n v="0"/>
    <n v="5"/>
  </r>
  <r>
    <n v="3257"/>
    <x v="26"/>
    <x v="0"/>
    <d v="2024-03-23T00:00:00"/>
    <x v="1"/>
    <n v="15"/>
    <x v="0"/>
    <x v="0"/>
    <n v="30"/>
    <x v="0"/>
    <n v="20"/>
    <n v="5"/>
    <n v="60"/>
  </r>
  <r>
    <n v="3258"/>
    <x v="27"/>
    <x v="2"/>
    <d v="2024-03-24T00:00:00"/>
    <x v="0"/>
    <n v="10"/>
    <x v="1"/>
    <x v="1"/>
    <s v="-"/>
    <x v="0"/>
    <n v="20"/>
    <n v="15"/>
    <n v="15"/>
  </r>
  <r>
    <n v="3259"/>
    <x v="28"/>
    <x v="1"/>
    <d v="2024-03-25T00:00:00"/>
    <x v="1"/>
    <n v="5"/>
    <x v="0"/>
    <x v="1"/>
    <s v="-"/>
    <x v="1"/>
    <n v="0"/>
    <n v="1"/>
    <n v="4"/>
  </r>
  <r>
    <n v="3260"/>
    <x v="29"/>
    <x v="0"/>
    <d v="2024-03-26T00:00:00"/>
    <x v="0"/>
    <n v="15"/>
    <x v="2"/>
    <x v="0"/>
    <n v="30"/>
    <x v="0"/>
    <n v="20"/>
    <n v="7"/>
    <n v="58"/>
  </r>
  <r>
    <n v="3261"/>
    <x v="30"/>
    <x v="2"/>
    <d v="2024-03-27T00:00:00"/>
    <x v="1"/>
    <n v="10"/>
    <x v="0"/>
    <x v="1"/>
    <s v="-"/>
    <x v="0"/>
    <n v="20"/>
    <n v="10"/>
    <n v="20"/>
  </r>
  <r>
    <n v="3262"/>
    <x v="31"/>
    <x v="1"/>
    <d v="2024-03-28T00:00:00"/>
    <x v="0"/>
    <n v="5"/>
    <x v="1"/>
    <x v="1"/>
    <s v="-"/>
    <x v="1"/>
    <n v="0"/>
    <n v="0"/>
    <n v="5"/>
  </r>
  <r>
    <n v="3263"/>
    <x v="32"/>
    <x v="0"/>
    <d v="2024-03-29T00:00:00"/>
    <x v="1"/>
    <n v="15"/>
    <x v="0"/>
    <x v="0"/>
    <n v="30"/>
    <x v="0"/>
    <n v="20"/>
    <n v="3"/>
    <n v="62"/>
  </r>
  <r>
    <n v="3264"/>
    <x v="33"/>
    <x v="2"/>
    <d v="2024-03-30T00:00:00"/>
    <x v="0"/>
    <n v="10"/>
    <x v="2"/>
    <x v="1"/>
    <s v="-"/>
    <x v="0"/>
    <n v="20"/>
    <n v="15"/>
    <n v="15"/>
  </r>
  <r>
    <n v="3265"/>
    <x v="34"/>
    <x v="1"/>
    <d v="2024-03-31T00:00:00"/>
    <x v="1"/>
    <n v="5"/>
    <x v="0"/>
    <x v="1"/>
    <s v="-"/>
    <x v="1"/>
    <n v="0"/>
    <n v="1"/>
    <n v="4"/>
  </r>
  <r>
    <n v="3266"/>
    <x v="35"/>
    <x v="1"/>
    <d v="2024-04-01T00:00:00"/>
    <x v="0"/>
    <n v="5"/>
    <x v="0"/>
    <x v="1"/>
    <s v="-"/>
    <x v="1"/>
    <n v="0"/>
    <n v="0"/>
    <n v="5"/>
  </r>
  <r>
    <n v="3267"/>
    <x v="36"/>
    <x v="0"/>
    <d v="2024-04-02T00:00:00"/>
    <x v="1"/>
    <n v="15"/>
    <x v="2"/>
    <x v="0"/>
    <n v="30"/>
    <x v="0"/>
    <n v="20"/>
    <n v="7"/>
    <n v="58"/>
  </r>
  <r>
    <n v="3268"/>
    <x v="37"/>
    <x v="2"/>
    <d v="2024-04-03T00:00:00"/>
    <x v="0"/>
    <n v="10"/>
    <x v="1"/>
    <x v="1"/>
    <s v="-"/>
    <x v="0"/>
    <n v="20"/>
    <n v="10"/>
    <n v="20"/>
  </r>
  <r>
    <n v="3269"/>
    <x v="38"/>
    <x v="1"/>
    <d v="2024-04-04T00:00:00"/>
    <x v="1"/>
    <n v="5"/>
    <x v="2"/>
    <x v="1"/>
    <s v="-"/>
    <x v="1"/>
    <n v="0"/>
    <n v="1"/>
    <n v="4"/>
  </r>
  <r>
    <n v="3270"/>
    <x v="39"/>
    <x v="0"/>
    <d v="2024-04-05T00:00:00"/>
    <x v="0"/>
    <n v="15"/>
    <x v="0"/>
    <x v="0"/>
    <n v="30"/>
    <x v="0"/>
    <n v="20"/>
    <n v="15"/>
    <n v="50"/>
  </r>
  <r>
    <n v="3271"/>
    <x v="40"/>
    <x v="2"/>
    <d v="2024-04-06T00:00:00"/>
    <x v="1"/>
    <n v="10"/>
    <x v="0"/>
    <x v="1"/>
    <s v="-"/>
    <x v="0"/>
    <n v="20"/>
    <n v="5"/>
    <n v="25"/>
  </r>
  <r>
    <n v="3272"/>
    <x v="41"/>
    <x v="1"/>
    <d v="2024-04-07T00:00:00"/>
    <x v="0"/>
    <n v="5"/>
    <x v="1"/>
    <x v="1"/>
    <s v="-"/>
    <x v="1"/>
    <n v="0"/>
    <n v="0"/>
    <n v="5"/>
  </r>
  <r>
    <n v="3273"/>
    <x v="42"/>
    <x v="0"/>
    <d v="2024-04-08T00:00:00"/>
    <x v="1"/>
    <n v="15"/>
    <x v="2"/>
    <x v="0"/>
    <n v="30"/>
    <x v="0"/>
    <n v="20"/>
    <n v="20"/>
    <n v="45"/>
  </r>
  <r>
    <n v="3274"/>
    <x v="43"/>
    <x v="2"/>
    <d v="2024-04-09T00:00:00"/>
    <x v="0"/>
    <n v="10"/>
    <x v="2"/>
    <x v="1"/>
    <s v="-"/>
    <x v="0"/>
    <n v="20"/>
    <n v="12"/>
    <n v="18"/>
  </r>
  <r>
    <n v="3275"/>
    <x v="44"/>
    <x v="1"/>
    <d v="2024-04-10T00:00:00"/>
    <x v="1"/>
    <n v="5"/>
    <x v="0"/>
    <x v="1"/>
    <s v="-"/>
    <x v="1"/>
    <n v="0"/>
    <n v="2"/>
    <n v="3"/>
  </r>
  <r>
    <n v="3276"/>
    <x v="45"/>
    <x v="0"/>
    <d v="2024-04-11T00:00:00"/>
    <x v="0"/>
    <n v="15"/>
    <x v="1"/>
    <x v="0"/>
    <n v="30"/>
    <x v="0"/>
    <n v="20"/>
    <n v="5"/>
    <n v="60"/>
  </r>
  <r>
    <n v="3277"/>
    <x v="46"/>
    <x v="2"/>
    <d v="2024-04-12T00:00:00"/>
    <x v="1"/>
    <n v="10"/>
    <x v="0"/>
    <x v="1"/>
    <s v="-"/>
    <x v="0"/>
    <n v="20"/>
    <n v="10"/>
    <n v="20"/>
  </r>
  <r>
    <n v="3278"/>
    <x v="47"/>
    <x v="1"/>
    <d v="2024-04-13T00:00:00"/>
    <x v="0"/>
    <n v="5"/>
    <x v="2"/>
    <x v="1"/>
    <s v="-"/>
    <x v="1"/>
    <n v="0"/>
    <n v="0"/>
    <n v="5"/>
  </r>
  <r>
    <n v="3279"/>
    <x v="48"/>
    <x v="0"/>
    <d v="2024-04-14T00:00:00"/>
    <x v="1"/>
    <n v="15"/>
    <x v="0"/>
    <x v="0"/>
    <n v="30"/>
    <x v="0"/>
    <n v="20"/>
    <n v="3"/>
    <n v="62"/>
  </r>
  <r>
    <n v="3280"/>
    <x v="49"/>
    <x v="2"/>
    <d v="2024-04-15T00:00:00"/>
    <x v="0"/>
    <n v="10"/>
    <x v="1"/>
    <x v="1"/>
    <s v="-"/>
    <x v="0"/>
    <n v="20"/>
    <n v="15"/>
    <n v="15"/>
  </r>
  <r>
    <n v="3281"/>
    <x v="50"/>
    <x v="1"/>
    <d v="2024-04-16T00:00:00"/>
    <x v="1"/>
    <n v="5"/>
    <x v="0"/>
    <x v="1"/>
    <s v="-"/>
    <x v="1"/>
    <n v="0"/>
    <n v="1"/>
    <n v="4"/>
  </r>
  <r>
    <n v="3282"/>
    <x v="51"/>
    <x v="0"/>
    <d v="2024-04-17T00:00:00"/>
    <x v="0"/>
    <n v="15"/>
    <x v="2"/>
    <x v="0"/>
    <n v="30"/>
    <x v="0"/>
    <n v="20"/>
    <n v="7"/>
    <n v="58"/>
  </r>
  <r>
    <n v="3283"/>
    <x v="52"/>
    <x v="2"/>
    <d v="2024-04-18T00:00:00"/>
    <x v="1"/>
    <n v="10"/>
    <x v="0"/>
    <x v="1"/>
    <s v="-"/>
    <x v="0"/>
    <n v="20"/>
    <n v="10"/>
    <n v="20"/>
  </r>
  <r>
    <n v="3284"/>
    <x v="53"/>
    <x v="1"/>
    <d v="2024-04-19T00:00:00"/>
    <x v="0"/>
    <n v="5"/>
    <x v="1"/>
    <x v="1"/>
    <s v="-"/>
    <x v="1"/>
    <n v="0"/>
    <n v="0"/>
    <n v="5"/>
  </r>
  <r>
    <n v="3285"/>
    <x v="54"/>
    <x v="0"/>
    <d v="2024-04-20T00:00:00"/>
    <x v="1"/>
    <n v="15"/>
    <x v="0"/>
    <x v="0"/>
    <n v="30"/>
    <x v="0"/>
    <n v="20"/>
    <n v="20"/>
    <n v="45"/>
  </r>
  <r>
    <n v="3286"/>
    <x v="55"/>
    <x v="2"/>
    <d v="2024-04-21T00:00:00"/>
    <x v="0"/>
    <n v="10"/>
    <x v="2"/>
    <x v="1"/>
    <s v="-"/>
    <x v="0"/>
    <n v="20"/>
    <n v="15"/>
    <n v="15"/>
  </r>
  <r>
    <n v="3287"/>
    <x v="56"/>
    <x v="1"/>
    <d v="2024-04-22T00:00:00"/>
    <x v="1"/>
    <n v="5"/>
    <x v="0"/>
    <x v="1"/>
    <s v="-"/>
    <x v="1"/>
    <n v="0"/>
    <n v="1"/>
    <n v="4"/>
  </r>
  <r>
    <n v="3288"/>
    <x v="57"/>
    <x v="0"/>
    <d v="2024-04-23T00:00:00"/>
    <x v="0"/>
    <n v="15"/>
    <x v="1"/>
    <x v="0"/>
    <n v="30"/>
    <x v="0"/>
    <n v="20"/>
    <n v="3"/>
    <n v="62"/>
  </r>
  <r>
    <n v="3289"/>
    <x v="58"/>
    <x v="2"/>
    <d v="2024-04-24T00:00:00"/>
    <x v="1"/>
    <n v="10"/>
    <x v="0"/>
    <x v="1"/>
    <s v="-"/>
    <x v="0"/>
    <n v="20"/>
    <n v="10"/>
    <n v="20"/>
  </r>
  <r>
    <n v="3290"/>
    <x v="59"/>
    <x v="1"/>
    <d v="2024-04-25T00:00:00"/>
    <x v="0"/>
    <n v="5"/>
    <x v="2"/>
    <x v="1"/>
    <s v="-"/>
    <x v="1"/>
    <n v="0"/>
    <n v="0"/>
    <n v="5"/>
  </r>
  <r>
    <n v="3291"/>
    <x v="60"/>
    <x v="0"/>
    <d v="2024-04-26T00:00:00"/>
    <x v="1"/>
    <n v="15"/>
    <x v="0"/>
    <x v="0"/>
    <n v="30"/>
    <x v="0"/>
    <n v="20"/>
    <n v="5"/>
    <n v="60"/>
  </r>
  <r>
    <n v="3292"/>
    <x v="61"/>
    <x v="2"/>
    <d v="2024-04-27T00:00:00"/>
    <x v="0"/>
    <n v="10"/>
    <x v="1"/>
    <x v="1"/>
    <s v="-"/>
    <x v="0"/>
    <n v="20"/>
    <n v="15"/>
    <n v="15"/>
  </r>
  <r>
    <n v="3293"/>
    <x v="62"/>
    <x v="1"/>
    <d v="2024-04-28T00:00:00"/>
    <x v="1"/>
    <n v="5"/>
    <x v="0"/>
    <x v="1"/>
    <s v="-"/>
    <x v="1"/>
    <n v="0"/>
    <n v="1"/>
    <n v="4"/>
  </r>
  <r>
    <n v="3294"/>
    <x v="63"/>
    <x v="0"/>
    <d v="2024-04-29T00:00:00"/>
    <x v="0"/>
    <n v="15"/>
    <x v="2"/>
    <x v="0"/>
    <n v="30"/>
    <x v="0"/>
    <n v="20"/>
    <n v="20"/>
    <n v="45"/>
  </r>
  <r>
    <n v="3295"/>
    <x v="64"/>
    <x v="2"/>
    <d v="2024-04-30T00:00:00"/>
    <x v="1"/>
    <n v="10"/>
    <x v="0"/>
    <x v="1"/>
    <s v="-"/>
    <x v="0"/>
    <n v="20"/>
    <n v="5"/>
    <n v="25"/>
  </r>
  <r>
    <n v="3296"/>
    <x v="65"/>
    <x v="1"/>
    <d v="2024-05-01T00:00:00"/>
    <x v="1"/>
    <n v="5"/>
    <x v="0"/>
    <x v="1"/>
    <s v="-"/>
    <x v="1"/>
    <n v="0"/>
    <n v="0"/>
    <n v="5"/>
  </r>
  <r>
    <n v="3297"/>
    <x v="66"/>
    <x v="0"/>
    <d v="2024-05-02T00:00:00"/>
    <x v="0"/>
    <n v="15"/>
    <x v="2"/>
    <x v="0"/>
    <n v="30"/>
    <x v="0"/>
    <n v="20"/>
    <n v="7"/>
    <n v="58"/>
  </r>
  <r>
    <n v="3298"/>
    <x v="67"/>
    <x v="2"/>
    <d v="2024-05-03T00:00:00"/>
    <x v="1"/>
    <n v="10"/>
    <x v="1"/>
    <x v="1"/>
    <s v="-"/>
    <x v="0"/>
    <n v="20"/>
    <n v="10"/>
    <n v="20"/>
  </r>
  <r>
    <n v="3299"/>
    <x v="68"/>
    <x v="1"/>
    <d v="2024-05-04T00:00:00"/>
    <x v="0"/>
    <n v="5"/>
    <x v="2"/>
    <x v="1"/>
    <s v="-"/>
    <x v="1"/>
    <n v="0"/>
    <n v="1"/>
    <n v="4"/>
  </r>
  <r>
    <n v="3300"/>
    <x v="69"/>
    <x v="0"/>
    <d v="2024-05-05T00:00:00"/>
    <x v="1"/>
    <n v="15"/>
    <x v="0"/>
    <x v="0"/>
    <n v="30"/>
    <x v="0"/>
    <n v="20"/>
    <n v="15"/>
    <n v="50"/>
  </r>
  <r>
    <n v="3301"/>
    <x v="70"/>
    <x v="2"/>
    <d v="2024-05-06T00:00:00"/>
    <x v="0"/>
    <n v="10"/>
    <x v="0"/>
    <x v="1"/>
    <s v="-"/>
    <x v="0"/>
    <n v="20"/>
    <n v="5"/>
    <n v="25"/>
  </r>
  <r>
    <n v="3302"/>
    <x v="71"/>
    <x v="1"/>
    <d v="2024-05-07T00:00:00"/>
    <x v="1"/>
    <n v="5"/>
    <x v="1"/>
    <x v="1"/>
    <s v="-"/>
    <x v="1"/>
    <n v="0"/>
    <n v="0"/>
    <n v="5"/>
  </r>
  <r>
    <n v="3303"/>
    <x v="72"/>
    <x v="0"/>
    <d v="2024-05-08T00:00:00"/>
    <x v="0"/>
    <n v="15"/>
    <x v="2"/>
    <x v="0"/>
    <n v="30"/>
    <x v="0"/>
    <n v="20"/>
    <n v="20"/>
    <n v="45"/>
  </r>
  <r>
    <n v="3304"/>
    <x v="73"/>
    <x v="2"/>
    <d v="2024-05-09T00:00:00"/>
    <x v="1"/>
    <n v="10"/>
    <x v="2"/>
    <x v="1"/>
    <s v="-"/>
    <x v="0"/>
    <n v="20"/>
    <n v="12"/>
    <n v="18"/>
  </r>
  <r>
    <n v="3305"/>
    <x v="74"/>
    <x v="1"/>
    <d v="2024-05-10T00:00:00"/>
    <x v="0"/>
    <n v="5"/>
    <x v="0"/>
    <x v="1"/>
    <s v="-"/>
    <x v="1"/>
    <n v="0"/>
    <n v="2"/>
    <n v="3"/>
  </r>
  <r>
    <n v="3306"/>
    <x v="75"/>
    <x v="0"/>
    <d v="2024-05-11T00:00:00"/>
    <x v="1"/>
    <n v="15"/>
    <x v="1"/>
    <x v="0"/>
    <n v="30"/>
    <x v="0"/>
    <n v="20"/>
    <n v="5"/>
    <n v="60"/>
  </r>
  <r>
    <n v="3307"/>
    <x v="76"/>
    <x v="2"/>
    <d v="2024-05-12T00:00:00"/>
    <x v="0"/>
    <n v="10"/>
    <x v="0"/>
    <x v="1"/>
    <s v="-"/>
    <x v="0"/>
    <n v="20"/>
    <n v="10"/>
    <n v="20"/>
  </r>
  <r>
    <n v="3308"/>
    <x v="77"/>
    <x v="1"/>
    <d v="2024-05-13T00:00:00"/>
    <x v="1"/>
    <n v="5"/>
    <x v="2"/>
    <x v="1"/>
    <s v="-"/>
    <x v="1"/>
    <n v="0"/>
    <n v="0"/>
    <n v="5"/>
  </r>
  <r>
    <n v="3309"/>
    <x v="78"/>
    <x v="0"/>
    <d v="2024-05-14T00:00:00"/>
    <x v="0"/>
    <n v="15"/>
    <x v="0"/>
    <x v="0"/>
    <n v="30"/>
    <x v="0"/>
    <n v="20"/>
    <n v="3"/>
    <n v="62"/>
  </r>
  <r>
    <n v="3310"/>
    <x v="79"/>
    <x v="2"/>
    <d v="2024-05-15T00:00:00"/>
    <x v="1"/>
    <n v="10"/>
    <x v="1"/>
    <x v="1"/>
    <s v="-"/>
    <x v="0"/>
    <n v="20"/>
    <n v="15"/>
    <n v="15"/>
  </r>
  <r>
    <n v="3311"/>
    <x v="80"/>
    <x v="1"/>
    <d v="2024-05-16T00:00:00"/>
    <x v="0"/>
    <n v="5"/>
    <x v="0"/>
    <x v="1"/>
    <s v="-"/>
    <x v="1"/>
    <n v="0"/>
    <n v="1"/>
    <n v="4"/>
  </r>
  <r>
    <n v="3312"/>
    <x v="81"/>
    <x v="0"/>
    <d v="2024-05-17T00:00:00"/>
    <x v="1"/>
    <n v="15"/>
    <x v="2"/>
    <x v="0"/>
    <n v="30"/>
    <x v="0"/>
    <n v="20"/>
    <n v="7"/>
    <n v="58"/>
  </r>
  <r>
    <n v="3313"/>
    <x v="82"/>
    <x v="2"/>
    <d v="2024-05-18T00:00:00"/>
    <x v="0"/>
    <n v="10"/>
    <x v="0"/>
    <x v="1"/>
    <s v="-"/>
    <x v="0"/>
    <n v="20"/>
    <n v="10"/>
    <n v="20"/>
  </r>
  <r>
    <n v="3314"/>
    <x v="83"/>
    <x v="1"/>
    <d v="2024-05-19T00:00:00"/>
    <x v="1"/>
    <n v="5"/>
    <x v="1"/>
    <x v="1"/>
    <s v="-"/>
    <x v="1"/>
    <n v="0"/>
    <n v="0"/>
    <n v="5"/>
  </r>
  <r>
    <n v="3315"/>
    <x v="84"/>
    <x v="0"/>
    <d v="2024-05-20T00:00:00"/>
    <x v="0"/>
    <n v="15"/>
    <x v="0"/>
    <x v="0"/>
    <n v="30"/>
    <x v="0"/>
    <n v="20"/>
    <n v="20"/>
    <n v="45"/>
  </r>
  <r>
    <n v="3316"/>
    <x v="85"/>
    <x v="2"/>
    <d v="2024-05-21T00:00:00"/>
    <x v="1"/>
    <n v="10"/>
    <x v="2"/>
    <x v="1"/>
    <s v="-"/>
    <x v="0"/>
    <n v="20"/>
    <n v="15"/>
    <n v="15"/>
  </r>
  <r>
    <n v="3317"/>
    <x v="86"/>
    <x v="1"/>
    <d v="2024-05-22T00:00:00"/>
    <x v="0"/>
    <n v="5"/>
    <x v="0"/>
    <x v="1"/>
    <s v="-"/>
    <x v="1"/>
    <n v="0"/>
    <n v="1"/>
    <n v="4"/>
  </r>
  <r>
    <n v="3318"/>
    <x v="87"/>
    <x v="0"/>
    <d v="2024-05-23T00:00:00"/>
    <x v="1"/>
    <n v="15"/>
    <x v="1"/>
    <x v="0"/>
    <n v="30"/>
    <x v="0"/>
    <n v="20"/>
    <n v="3"/>
    <n v="62"/>
  </r>
  <r>
    <n v="3319"/>
    <x v="88"/>
    <x v="2"/>
    <d v="2024-05-24T00:00:00"/>
    <x v="0"/>
    <n v="10"/>
    <x v="0"/>
    <x v="1"/>
    <s v="-"/>
    <x v="0"/>
    <n v="20"/>
    <n v="10"/>
    <n v="20"/>
  </r>
  <r>
    <n v="3320"/>
    <x v="89"/>
    <x v="1"/>
    <d v="2024-05-25T00:00:00"/>
    <x v="1"/>
    <n v="5"/>
    <x v="2"/>
    <x v="1"/>
    <s v="-"/>
    <x v="1"/>
    <n v="0"/>
    <n v="0"/>
    <n v="5"/>
  </r>
  <r>
    <n v="3321"/>
    <x v="90"/>
    <x v="0"/>
    <d v="2024-05-26T00:00:00"/>
    <x v="0"/>
    <n v="15"/>
    <x v="0"/>
    <x v="0"/>
    <n v="30"/>
    <x v="0"/>
    <n v="20"/>
    <n v="5"/>
    <n v="60"/>
  </r>
  <r>
    <n v="3322"/>
    <x v="91"/>
    <x v="2"/>
    <d v="2024-05-27T00:00:00"/>
    <x v="1"/>
    <n v="10"/>
    <x v="1"/>
    <x v="1"/>
    <s v="-"/>
    <x v="0"/>
    <n v="20"/>
    <n v="15"/>
    <n v="15"/>
  </r>
  <r>
    <n v="3323"/>
    <x v="92"/>
    <x v="1"/>
    <d v="2024-05-28T00:00:00"/>
    <x v="0"/>
    <n v="5"/>
    <x v="0"/>
    <x v="1"/>
    <s v="-"/>
    <x v="1"/>
    <n v="0"/>
    <n v="1"/>
    <n v="4"/>
  </r>
  <r>
    <n v="3324"/>
    <x v="93"/>
    <x v="0"/>
    <d v="2024-05-29T00:00:00"/>
    <x v="1"/>
    <n v="15"/>
    <x v="2"/>
    <x v="0"/>
    <n v="30"/>
    <x v="0"/>
    <n v="20"/>
    <n v="20"/>
    <n v="45"/>
  </r>
  <r>
    <n v="3325"/>
    <x v="94"/>
    <x v="2"/>
    <d v="2024-05-30T00:00:00"/>
    <x v="0"/>
    <n v="10"/>
    <x v="2"/>
    <x v="1"/>
    <s v="-"/>
    <x v="0"/>
    <n v="20"/>
    <n v="15"/>
    <n v="15"/>
  </r>
  <r>
    <n v="3326"/>
    <x v="95"/>
    <x v="1"/>
    <d v="2024-05-31T00:00:00"/>
    <x v="1"/>
    <n v="5"/>
    <x v="1"/>
    <x v="1"/>
    <s v="-"/>
    <x v="1"/>
    <n v="0"/>
    <n v="0"/>
    <n v="5"/>
  </r>
  <r>
    <n v="3327"/>
    <x v="96"/>
    <x v="0"/>
    <d v="2024-06-01T00:00:00"/>
    <x v="0"/>
    <n v="15"/>
    <x v="0"/>
    <x v="0"/>
    <n v="30"/>
    <x v="0"/>
    <n v="20"/>
    <n v="7"/>
    <n v="58"/>
  </r>
  <r>
    <n v="3328"/>
    <x v="97"/>
    <x v="2"/>
    <d v="2024-06-02T00:00:00"/>
    <x v="1"/>
    <n v="10"/>
    <x v="1"/>
    <x v="1"/>
    <s v="-"/>
    <x v="0"/>
    <n v="20"/>
    <n v="10"/>
    <n v="20"/>
  </r>
  <r>
    <n v="3329"/>
    <x v="98"/>
    <x v="1"/>
    <d v="2024-06-03T00:00:00"/>
    <x v="0"/>
    <n v="5"/>
    <x v="2"/>
    <x v="1"/>
    <s v="-"/>
    <x v="1"/>
    <n v="0"/>
    <n v="1"/>
    <n v="4"/>
  </r>
  <r>
    <n v="3330"/>
    <x v="99"/>
    <x v="0"/>
    <d v="2024-06-04T00:00:00"/>
    <x v="1"/>
    <n v="15"/>
    <x v="0"/>
    <x v="0"/>
    <n v="30"/>
    <x v="0"/>
    <n v="20"/>
    <n v="15"/>
    <n v="50"/>
  </r>
  <r>
    <n v="3331"/>
    <x v="100"/>
    <x v="2"/>
    <d v="2024-06-05T00:00:00"/>
    <x v="0"/>
    <n v="10"/>
    <x v="0"/>
    <x v="1"/>
    <s v="-"/>
    <x v="0"/>
    <n v="20"/>
    <n v="5"/>
    <n v="25"/>
  </r>
  <r>
    <n v="3332"/>
    <x v="101"/>
    <x v="1"/>
    <d v="2024-06-06T00:00:00"/>
    <x v="1"/>
    <n v="5"/>
    <x v="1"/>
    <x v="1"/>
    <s v="-"/>
    <x v="1"/>
    <n v="0"/>
    <n v="0"/>
    <n v="5"/>
  </r>
  <r>
    <n v="3333"/>
    <x v="102"/>
    <x v="0"/>
    <d v="2024-06-07T00:00:00"/>
    <x v="0"/>
    <n v="15"/>
    <x v="2"/>
    <x v="0"/>
    <n v="30"/>
    <x v="0"/>
    <n v="20"/>
    <n v="20"/>
    <n v="45"/>
  </r>
  <r>
    <n v="3334"/>
    <x v="103"/>
    <x v="2"/>
    <d v="2024-06-08T00:00:00"/>
    <x v="1"/>
    <n v="10"/>
    <x v="2"/>
    <x v="1"/>
    <s v="-"/>
    <x v="0"/>
    <n v="20"/>
    <n v="12"/>
    <n v="18"/>
  </r>
  <r>
    <n v="3335"/>
    <x v="104"/>
    <x v="1"/>
    <d v="2024-06-09T00:00:00"/>
    <x v="0"/>
    <n v="5"/>
    <x v="0"/>
    <x v="1"/>
    <s v="-"/>
    <x v="1"/>
    <n v="0"/>
    <n v="2"/>
    <n v="3"/>
  </r>
  <r>
    <n v="3336"/>
    <x v="105"/>
    <x v="1"/>
    <d v="2024-06-10T00:00:00"/>
    <x v="0"/>
    <n v="5"/>
    <x v="0"/>
    <x v="1"/>
    <s v="-"/>
    <x v="1"/>
    <n v="0"/>
    <n v="0"/>
    <n v="5"/>
  </r>
  <r>
    <n v="3337"/>
    <x v="106"/>
    <x v="0"/>
    <d v="2024-06-11T00:00:00"/>
    <x v="1"/>
    <n v="15"/>
    <x v="2"/>
    <x v="0"/>
    <n v="30"/>
    <x v="0"/>
    <n v="20"/>
    <n v="7"/>
    <n v="58"/>
  </r>
  <r>
    <n v="3338"/>
    <x v="107"/>
    <x v="2"/>
    <d v="2024-06-12T00:00:00"/>
    <x v="0"/>
    <n v="10"/>
    <x v="1"/>
    <x v="1"/>
    <s v="-"/>
    <x v="0"/>
    <n v="20"/>
    <n v="10"/>
    <n v="20"/>
  </r>
  <r>
    <n v="3339"/>
    <x v="108"/>
    <x v="1"/>
    <d v="2024-06-13T00:00:00"/>
    <x v="1"/>
    <n v="5"/>
    <x v="2"/>
    <x v="1"/>
    <s v="-"/>
    <x v="1"/>
    <n v="0"/>
    <n v="1"/>
    <n v="4"/>
  </r>
  <r>
    <n v="3340"/>
    <x v="109"/>
    <x v="0"/>
    <d v="2024-06-14T00:00:00"/>
    <x v="0"/>
    <n v="15"/>
    <x v="0"/>
    <x v="0"/>
    <n v="30"/>
    <x v="0"/>
    <n v="20"/>
    <n v="15"/>
    <n v="50"/>
  </r>
  <r>
    <n v="3341"/>
    <x v="110"/>
    <x v="2"/>
    <d v="2024-06-15T00:00:00"/>
    <x v="1"/>
    <n v="10"/>
    <x v="0"/>
    <x v="1"/>
    <s v="-"/>
    <x v="0"/>
    <n v="20"/>
    <n v="5"/>
    <n v="25"/>
  </r>
  <r>
    <n v="3342"/>
    <x v="111"/>
    <x v="1"/>
    <d v="2024-06-16T00:00:00"/>
    <x v="0"/>
    <n v="5"/>
    <x v="1"/>
    <x v="1"/>
    <s v="-"/>
    <x v="1"/>
    <n v="0"/>
    <n v="0"/>
    <n v="5"/>
  </r>
  <r>
    <n v="3343"/>
    <x v="112"/>
    <x v="0"/>
    <d v="2024-06-17T00:00:00"/>
    <x v="1"/>
    <n v="15"/>
    <x v="2"/>
    <x v="0"/>
    <n v="30"/>
    <x v="0"/>
    <n v="20"/>
    <n v="20"/>
    <n v="45"/>
  </r>
  <r>
    <n v="3344"/>
    <x v="113"/>
    <x v="2"/>
    <d v="2024-06-18T00:00:00"/>
    <x v="0"/>
    <n v="10"/>
    <x v="2"/>
    <x v="1"/>
    <s v="-"/>
    <x v="0"/>
    <n v="20"/>
    <n v="12"/>
    <n v="18"/>
  </r>
  <r>
    <n v="3345"/>
    <x v="114"/>
    <x v="1"/>
    <d v="2024-06-19T00:00:00"/>
    <x v="1"/>
    <n v="5"/>
    <x v="0"/>
    <x v="1"/>
    <s v="-"/>
    <x v="1"/>
    <n v="0"/>
    <n v="2"/>
    <n v="3"/>
  </r>
  <r>
    <n v="3346"/>
    <x v="115"/>
    <x v="0"/>
    <d v="2024-06-20T00:00:00"/>
    <x v="0"/>
    <n v="15"/>
    <x v="1"/>
    <x v="0"/>
    <n v="30"/>
    <x v="0"/>
    <n v="20"/>
    <n v="5"/>
    <n v="60"/>
  </r>
  <r>
    <n v="3347"/>
    <x v="116"/>
    <x v="2"/>
    <d v="2024-06-21T00:00:00"/>
    <x v="1"/>
    <n v="10"/>
    <x v="0"/>
    <x v="1"/>
    <s v="-"/>
    <x v="0"/>
    <n v="20"/>
    <n v="10"/>
    <n v="20"/>
  </r>
  <r>
    <n v="3348"/>
    <x v="117"/>
    <x v="1"/>
    <d v="2024-06-22T00:00:00"/>
    <x v="0"/>
    <n v="5"/>
    <x v="2"/>
    <x v="1"/>
    <s v="-"/>
    <x v="1"/>
    <n v="0"/>
    <n v="0"/>
    <n v="5"/>
  </r>
  <r>
    <n v="3349"/>
    <x v="93"/>
    <x v="0"/>
    <d v="2024-06-23T00:00:00"/>
    <x v="1"/>
    <n v="15"/>
    <x v="0"/>
    <x v="0"/>
    <n v="30"/>
    <x v="0"/>
    <n v="20"/>
    <n v="3"/>
    <n v="62"/>
  </r>
  <r>
    <n v="3350"/>
    <x v="118"/>
    <x v="2"/>
    <d v="2024-06-24T00:00:00"/>
    <x v="0"/>
    <n v="10"/>
    <x v="1"/>
    <x v="1"/>
    <s v="-"/>
    <x v="0"/>
    <n v="20"/>
    <n v="15"/>
    <n v="15"/>
  </r>
  <r>
    <n v="3351"/>
    <x v="119"/>
    <x v="1"/>
    <d v="2024-06-25T00:00:00"/>
    <x v="1"/>
    <n v="5"/>
    <x v="0"/>
    <x v="1"/>
    <s v="-"/>
    <x v="1"/>
    <n v="0"/>
    <n v="1"/>
    <n v="4"/>
  </r>
  <r>
    <n v="3352"/>
    <x v="120"/>
    <x v="0"/>
    <d v="2024-06-26T00:00:00"/>
    <x v="0"/>
    <n v="15"/>
    <x v="2"/>
    <x v="0"/>
    <n v="30"/>
    <x v="0"/>
    <n v="20"/>
    <n v="7"/>
    <n v="58"/>
  </r>
  <r>
    <n v="3353"/>
    <x v="121"/>
    <x v="2"/>
    <d v="2024-06-27T00:00:00"/>
    <x v="1"/>
    <n v="10"/>
    <x v="0"/>
    <x v="1"/>
    <s v="-"/>
    <x v="0"/>
    <n v="20"/>
    <n v="10"/>
    <n v="20"/>
  </r>
  <r>
    <n v="3354"/>
    <x v="122"/>
    <x v="1"/>
    <d v="2024-06-28T00:00:00"/>
    <x v="0"/>
    <n v="5"/>
    <x v="1"/>
    <x v="1"/>
    <s v="-"/>
    <x v="1"/>
    <n v="0"/>
    <n v="0"/>
    <n v="5"/>
  </r>
  <r>
    <n v="3355"/>
    <x v="123"/>
    <x v="0"/>
    <d v="2024-06-29T00:00:00"/>
    <x v="1"/>
    <n v="15"/>
    <x v="0"/>
    <x v="0"/>
    <n v="30"/>
    <x v="0"/>
    <n v="20"/>
    <n v="20"/>
    <n v="45"/>
  </r>
  <r>
    <n v="3356"/>
    <x v="124"/>
    <x v="2"/>
    <d v="2024-06-30T00:00:00"/>
    <x v="0"/>
    <n v="10"/>
    <x v="2"/>
    <x v="1"/>
    <s v="-"/>
    <x v="0"/>
    <n v="20"/>
    <n v="15"/>
    <n v="15"/>
  </r>
  <r>
    <n v="3357"/>
    <x v="125"/>
    <x v="1"/>
    <d v="2024-07-01T00:00:00"/>
    <x v="1"/>
    <n v="5"/>
    <x v="0"/>
    <x v="1"/>
    <s v="-"/>
    <x v="1"/>
    <n v="0"/>
    <n v="1"/>
    <n v="4"/>
  </r>
  <r>
    <n v="3358"/>
    <x v="126"/>
    <x v="0"/>
    <d v="2024-07-02T00:00:00"/>
    <x v="0"/>
    <n v="15"/>
    <x v="1"/>
    <x v="0"/>
    <n v="30"/>
    <x v="0"/>
    <n v="20"/>
    <n v="3"/>
    <n v="62"/>
  </r>
  <r>
    <n v="3359"/>
    <x v="127"/>
    <x v="2"/>
    <d v="2024-07-03T00:00:00"/>
    <x v="1"/>
    <n v="10"/>
    <x v="0"/>
    <x v="1"/>
    <s v="-"/>
    <x v="0"/>
    <n v="20"/>
    <n v="10"/>
    <n v="20"/>
  </r>
  <r>
    <n v="3360"/>
    <x v="128"/>
    <x v="1"/>
    <d v="2024-07-04T00:00:00"/>
    <x v="0"/>
    <n v="5"/>
    <x v="2"/>
    <x v="1"/>
    <s v="-"/>
    <x v="1"/>
    <n v="0"/>
    <n v="0"/>
    <n v="5"/>
  </r>
  <r>
    <n v="3361"/>
    <x v="129"/>
    <x v="0"/>
    <d v="2024-07-05T00:00:00"/>
    <x v="1"/>
    <n v="15"/>
    <x v="0"/>
    <x v="0"/>
    <n v="30"/>
    <x v="0"/>
    <n v="20"/>
    <n v="15"/>
    <n v="50"/>
  </r>
  <r>
    <n v="3362"/>
    <x v="130"/>
    <x v="2"/>
    <d v="2024-07-06T00:00:00"/>
    <x v="0"/>
    <n v="10"/>
    <x v="1"/>
    <x v="1"/>
    <s v="-"/>
    <x v="0"/>
    <n v="20"/>
    <n v="15"/>
    <n v="15"/>
  </r>
  <r>
    <n v="3363"/>
    <x v="131"/>
    <x v="1"/>
    <d v="2024-07-07T00:00:00"/>
    <x v="1"/>
    <n v="5"/>
    <x v="0"/>
    <x v="1"/>
    <s v="-"/>
    <x v="1"/>
    <n v="0"/>
    <n v="1"/>
    <n v="4"/>
  </r>
  <r>
    <n v="3364"/>
    <x v="132"/>
    <x v="0"/>
    <d v="2024-07-08T00:00:00"/>
    <x v="0"/>
    <n v="15"/>
    <x v="2"/>
    <x v="0"/>
    <n v="30"/>
    <x v="0"/>
    <n v="20"/>
    <n v="7"/>
    <n v="58"/>
  </r>
  <r>
    <n v="3365"/>
    <x v="133"/>
    <x v="2"/>
    <d v="2024-07-09T00:00:00"/>
    <x v="1"/>
    <n v="10"/>
    <x v="0"/>
    <x v="1"/>
    <s v="-"/>
    <x v="0"/>
    <n v="20"/>
    <n v="10"/>
    <n v="20"/>
  </r>
  <r>
    <n v="3366"/>
    <x v="134"/>
    <x v="1"/>
    <d v="2024-07-10T00:00:00"/>
    <x v="0"/>
    <n v="5"/>
    <x v="0"/>
    <x v="1"/>
    <s v="-"/>
    <x v="1"/>
    <n v="0"/>
    <n v="0"/>
    <n v="5"/>
  </r>
  <r>
    <n v="3367"/>
    <x v="135"/>
    <x v="0"/>
    <d v="2024-07-11T00:00:00"/>
    <x v="1"/>
    <n v="15"/>
    <x v="2"/>
    <x v="0"/>
    <n v="30"/>
    <x v="0"/>
    <n v="20"/>
    <n v="7"/>
    <n v="58"/>
  </r>
  <r>
    <n v="3368"/>
    <x v="136"/>
    <x v="2"/>
    <d v="2024-07-12T00:00:00"/>
    <x v="0"/>
    <n v="10"/>
    <x v="1"/>
    <x v="1"/>
    <s v="-"/>
    <x v="0"/>
    <n v="20"/>
    <n v="10"/>
    <n v="20"/>
  </r>
  <r>
    <n v="3369"/>
    <x v="137"/>
    <x v="1"/>
    <d v="2024-07-13T00:00:00"/>
    <x v="1"/>
    <n v="5"/>
    <x v="2"/>
    <x v="1"/>
    <s v="-"/>
    <x v="1"/>
    <n v="0"/>
    <n v="1"/>
    <n v="4"/>
  </r>
  <r>
    <n v="3370"/>
    <x v="138"/>
    <x v="0"/>
    <d v="2024-07-14T00:00:00"/>
    <x v="0"/>
    <n v="15"/>
    <x v="0"/>
    <x v="0"/>
    <n v="30"/>
    <x v="0"/>
    <n v="20"/>
    <n v="15"/>
    <n v="50"/>
  </r>
  <r>
    <n v="3371"/>
    <x v="139"/>
    <x v="2"/>
    <d v="2024-07-15T00:00:00"/>
    <x v="1"/>
    <n v="10"/>
    <x v="0"/>
    <x v="1"/>
    <s v="-"/>
    <x v="0"/>
    <n v="20"/>
    <n v="5"/>
    <n v="25"/>
  </r>
  <r>
    <n v="3372"/>
    <x v="140"/>
    <x v="1"/>
    <d v="2024-07-16T00:00:00"/>
    <x v="0"/>
    <n v="5"/>
    <x v="1"/>
    <x v="1"/>
    <s v="-"/>
    <x v="1"/>
    <n v="0"/>
    <n v="0"/>
    <n v="5"/>
  </r>
  <r>
    <n v="3373"/>
    <x v="141"/>
    <x v="0"/>
    <d v="2024-07-17T00:00:00"/>
    <x v="1"/>
    <n v="15"/>
    <x v="2"/>
    <x v="0"/>
    <n v="30"/>
    <x v="0"/>
    <n v="20"/>
    <n v="20"/>
    <n v="45"/>
  </r>
  <r>
    <n v="3374"/>
    <x v="142"/>
    <x v="2"/>
    <d v="2024-07-18T00:00:00"/>
    <x v="0"/>
    <n v="10"/>
    <x v="2"/>
    <x v="1"/>
    <s v="-"/>
    <x v="0"/>
    <n v="20"/>
    <n v="12"/>
    <n v="18"/>
  </r>
  <r>
    <n v="3375"/>
    <x v="143"/>
    <x v="1"/>
    <d v="2024-07-19T00:00:00"/>
    <x v="1"/>
    <n v="5"/>
    <x v="0"/>
    <x v="1"/>
    <s v="-"/>
    <x v="1"/>
    <n v="0"/>
    <n v="2"/>
    <n v="3"/>
  </r>
  <r>
    <n v="3376"/>
    <x v="144"/>
    <x v="0"/>
    <d v="2024-07-20T00:00:00"/>
    <x v="0"/>
    <n v="15"/>
    <x v="1"/>
    <x v="0"/>
    <n v="30"/>
    <x v="0"/>
    <n v="20"/>
    <n v="5"/>
    <n v="60"/>
  </r>
  <r>
    <n v="3377"/>
    <x v="145"/>
    <x v="2"/>
    <d v="2024-07-21T00:00:00"/>
    <x v="1"/>
    <n v="10"/>
    <x v="0"/>
    <x v="1"/>
    <s v="-"/>
    <x v="0"/>
    <n v="20"/>
    <n v="10"/>
    <n v="20"/>
  </r>
  <r>
    <n v="3378"/>
    <x v="146"/>
    <x v="1"/>
    <d v="2024-07-22T00:00:00"/>
    <x v="0"/>
    <n v="5"/>
    <x v="2"/>
    <x v="1"/>
    <s v="-"/>
    <x v="1"/>
    <n v="0"/>
    <n v="0"/>
    <n v="5"/>
  </r>
  <r>
    <n v="3379"/>
    <x v="147"/>
    <x v="0"/>
    <d v="2024-07-23T00:00:00"/>
    <x v="1"/>
    <n v="15"/>
    <x v="0"/>
    <x v="0"/>
    <n v="30"/>
    <x v="0"/>
    <n v="20"/>
    <n v="3"/>
    <n v="62"/>
  </r>
  <r>
    <n v="3380"/>
    <x v="148"/>
    <x v="2"/>
    <d v="2024-07-24T00:00:00"/>
    <x v="0"/>
    <n v="10"/>
    <x v="1"/>
    <x v="1"/>
    <s v="-"/>
    <x v="0"/>
    <n v="20"/>
    <n v="15"/>
    <n v="15"/>
  </r>
  <r>
    <n v="3381"/>
    <x v="149"/>
    <x v="1"/>
    <d v="2024-07-25T00:00:00"/>
    <x v="1"/>
    <n v="5"/>
    <x v="0"/>
    <x v="1"/>
    <s v="-"/>
    <x v="1"/>
    <n v="0"/>
    <n v="1"/>
    <n v="4"/>
  </r>
  <r>
    <n v="3382"/>
    <x v="150"/>
    <x v="0"/>
    <d v="2024-07-26T00:00:00"/>
    <x v="0"/>
    <n v="15"/>
    <x v="2"/>
    <x v="0"/>
    <n v="30"/>
    <x v="0"/>
    <n v="20"/>
    <n v="7"/>
    <n v="58"/>
  </r>
  <r>
    <n v="3383"/>
    <x v="151"/>
    <x v="2"/>
    <d v="2024-07-27T00:00:00"/>
    <x v="1"/>
    <n v="10"/>
    <x v="0"/>
    <x v="1"/>
    <s v="-"/>
    <x v="0"/>
    <n v="20"/>
    <n v="10"/>
    <n v="20"/>
  </r>
  <r>
    <n v="3384"/>
    <x v="152"/>
    <x v="1"/>
    <d v="2024-07-28T00:00:00"/>
    <x v="0"/>
    <n v="5"/>
    <x v="1"/>
    <x v="1"/>
    <s v="-"/>
    <x v="1"/>
    <n v="0"/>
    <n v="0"/>
    <n v="5"/>
  </r>
  <r>
    <n v="3385"/>
    <x v="153"/>
    <x v="0"/>
    <d v="2024-07-29T00:00:00"/>
    <x v="1"/>
    <n v="15"/>
    <x v="0"/>
    <x v="0"/>
    <n v="30"/>
    <x v="0"/>
    <n v="20"/>
    <n v="20"/>
    <n v="45"/>
  </r>
  <r>
    <n v="3386"/>
    <x v="154"/>
    <x v="2"/>
    <d v="2024-07-30T00:00:00"/>
    <x v="0"/>
    <n v="10"/>
    <x v="2"/>
    <x v="1"/>
    <s v="-"/>
    <x v="0"/>
    <n v="20"/>
    <n v="15"/>
    <n v="15"/>
  </r>
  <r>
    <n v="3387"/>
    <x v="155"/>
    <x v="1"/>
    <d v="2024-07-31T00:00:00"/>
    <x v="1"/>
    <n v="5"/>
    <x v="0"/>
    <x v="1"/>
    <s v="-"/>
    <x v="1"/>
    <n v="0"/>
    <n v="1"/>
    <n v="4"/>
  </r>
  <r>
    <n v="3388"/>
    <x v="156"/>
    <x v="0"/>
    <d v="2024-08-01T00:00:00"/>
    <x v="0"/>
    <n v="15"/>
    <x v="1"/>
    <x v="0"/>
    <n v="30"/>
    <x v="0"/>
    <n v="20"/>
    <n v="3"/>
    <n v="62"/>
  </r>
  <r>
    <n v="3389"/>
    <x v="157"/>
    <x v="2"/>
    <d v="2024-08-02T00:00:00"/>
    <x v="1"/>
    <n v="10"/>
    <x v="0"/>
    <x v="1"/>
    <s v="-"/>
    <x v="0"/>
    <n v="20"/>
    <n v="10"/>
    <n v="20"/>
  </r>
  <r>
    <n v="3390"/>
    <x v="158"/>
    <x v="1"/>
    <d v="2024-08-03T00:00:00"/>
    <x v="0"/>
    <n v="5"/>
    <x v="2"/>
    <x v="1"/>
    <s v="-"/>
    <x v="1"/>
    <n v="0"/>
    <n v="0"/>
    <n v="5"/>
  </r>
  <r>
    <n v="3391"/>
    <x v="58"/>
    <x v="0"/>
    <d v="2024-08-04T00:00:00"/>
    <x v="1"/>
    <n v="15"/>
    <x v="0"/>
    <x v="0"/>
    <n v="30"/>
    <x v="0"/>
    <n v="20"/>
    <n v="15"/>
    <n v="50"/>
  </r>
  <r>
    <n v="3392"/>
    <x v="159"/>
    <x v="2"/>
    <d v="2024-08-05T00:00:00"/>
    <x v="0"/>
    <n v="10"/>
    <x v="1"/>
    <x v="1"/>
    <s v="-"/>
    <x v="0"/>
    <n v="20"/>
    <n v="15"/>
    <n v="15"/>
  </r>
  <r>
    <n v="3393"/>
    <x v="160"/>
    <x v="1"/>
    <d v="2024-08-06T00:00:00"/>
    <x v="1"/>
    <n v="5"/>
    <x v="0"/>
    <x v="1"/>
    <s v="-"/>
    <x v="1"/>
    <n v="0"/>
    <n v="1"/>
    <n v="4"/>
  </r>
  <r>
    <n v="3394"/>
    <x v="161"/>
    <x v="0"/>
    <d v="2024-08-07T00:00:00"/>
    <x v="0"/>
    <n v="15"/>
    <x v="2"/>
    <x v="0"/>
    <n v="30"/>
    <x v="0"/>
    <n v="20"/>
    <n v="7"/>
    <n v="58"/>
  </r>
  <r>
    <n v="3395"/>
    <x v="162"/>
    <x v="2"/>
    <d v="2024-08-08T00:00:00"/>
    <x v="1"/>
    <n v="10"/>
    <x v="0"/>
    <x v="1"/>
    <s v="-"/>
    <x v="0"/>
    <n v="20"/>
    <n v="10"/>
    <n v="20"/>
  </r>
  <r>
    <n v="3396"/>
    <x v="163"/>
    <x v="1"/>
    <d v="2024-08-09T00:00:00"/>
    <x v="0"/>
    <n v="5"/>
    <x v="1"/>
    <x v="1"/>
    <s v="-"/>
    <x v="1"/>
    <n v="0"/>
    <n v="0"/>
    <n v="5"/>
  </r>
  <r>
    <n v="3397"/>
    <x v="90"/>
    <x v="0"/>
    <d v="2024-08-10T00:00:00"/>
    <x v="1"/>
    <n v="15"/>
    <x v="0"/>
    <x v="0"/>
    <n v="30"/>
    <x v="0"/>
    <n v="20"/>
    <n v="20"/>
    <n v="45"/>
  </r>
  <r>
    <n v="3398"/>
    <x v="164"/>
    <x v="2"/>
    <d v="2024-08-11T00:00:00"/>
    <x v="0"/>
    <n v="10"/>
    <x v="2"/>
    <x v="1"/>
    <s v="-"/>
    <x v="0"/>
    <n v="20"/>
    <n v="15"/>
    <n v="15"/>
  </r>
  <r>
    <n v="3399"/>
    <x v="165"/>
    <x v="1"/>
    <d v="2024-08-12T00:00:00"/>
    <x v="1"/>
    <n v="5"/>
    <x v="0"/>
    <x v="1"/>
    <s v="-"/>
    <x v="1"/>
    <n v="0"/>
    <n v="1"/>
    <n v="4"/>
  </r>
  <r>
    <n v="3400"/>
    <x v="166"/>
    <x v="0"/>
    <d v="2024-08-13T00:00:00"/>
    <x v="0"/>
    <n v="15"/>
    <x v="1"/>
    <x v="0"/>
    <n v="30"/>
    <x v="0"/>
    <n v="20"/>
    <n v="5"/>
    <n v="60"/>
  </r>
  <r>
    <n v="3401"/>
    <x v="167"/>
    <x v="2"/>
    <d v="2024-08-14T00:00:00"/>
    <x v="1"/>
    <n v="10"/>
    <x v="0"/>
    <x v="1"/>
    <s v="-"/>
    <x v="0"/>
    <n v="20"/>
    <n v="10"/>
    <n v="20"/>
  </r>
  <r>
    <n v="3402"/>
    <x v="168"/>
    <x v="1"/>
    <d v="2024-08-15T00:00:00"/>
    <x v="0"/>
    <n v="5"/>
    <x v="2"/>
    <x v="1"/>
    <s v="-"/>
    <x v="1"/>
    <n v="0"/>
    <n v="0"/>
    <n v="5"/>
  </r>
  <r>
    <n v="3403"/>
    <x v="169"/>
    <x v="0"/>
    <d v="2024-08-16T00:00:00"/>
    <x v="1"/>
    <n v="15"/>
    <x v="0"/>
    <x v="0"/>
    <n v="30"/>
    <x v="0"/>
    <n v="20"/>
    <n v="3"/>
    <n v="62"/>
  </r>
  <r>
    <n v="3404"/>
    <x v="170"/>
    <x v="2"/>
    <d v="2024-08-17T00:00:00"/>
    <x v="0"/>
    <n v="10"/>
    <x v="1"/>
    <x v="1"/>
    <s v="-"/>
    <x v="0"/>
    <n v="20"/>
    <n v="15"/>
    <n v="15"/>
  </r>
  <r>
    <n v="3405"/>
    <x v="171"/>
    <x v="1"/>
    <d v="2024-08-18T00:00:00"/>
    <x v="1"/>
    <n v="5"/>
    <x v="0"/>
    <x v="1"/>
    <s v="-"/>
    <x v="1"/>
    <n v="0"/>
    <n v="1"/>
    <n v="4"/>
  </r>
  <r>
    <n v="3406"/>
    <x v="172"/>
    <x v="1"/>
    <d v="2024-08-19T00:00:00"/>
    <x v="0"/>
    <n v="5"/>
    <x v="0"/>
    <x v="1"/>
    <s v="-"/>
    <x v="1"/>
    <n v="0"/>
    <n v="0"/>
    <n v="5"/>
  </r>
  <r>
    <n v="3407"/>
    <x v="173"/>
    <x v="0"/>
    <d v="2024-08-20T00:00:00"/>
    <x v="1"/>
    <n v="15"/>
    <x v="2"/>
    <x v="0"/>
    <n v="30"/>
    <x v="0"/>
    <n v="20"/>
    <n v="7"/>
    <n v="58"/>
  </r>
  <r>
    <n v="3408"/>
    <x v="174"/>
    <x v="2"/>
    <d v="2024-08-21T00:00:00"/>
    <x v="0"/>
    <n v="10"/>
    <x v="1"/>
    <x v="1"/>
    <s v="-"/>
    <x v="0"/>
    <n v="20"/>
    <n v="10"/>
    <n v="20"/>
  </r>
  <r>
    <n v="3409"/>
    <x v="175"/>
    <x v="1"/>
    <d v="2024-08-22T00:00:00"/>
    <x v="1"/>
    <n v="5"/>
    <x v="2"/>
    <x v="1"/>
    <s v="-"/>
    <x v="1"/>
    <n v="0"/>
    <n v="1"/>
    <n v="4"/>
  </r>
  <r>
    <n v="3410"/>
    <x v="176"/>
    <x v="0"/>
    <d v="2024-08-23T00:00:00"/>
    <x v="0"/>
    <n v="15"/>
    <x v="0"/>
    <x v="0"/>
    <n v="30"/>
    <x v="0"/>
    <n v="20"/>
    <n v="15"/>
    <n v="50"/>
  </r>
  <r>
    <n v="3411"/>
    <x v="177"/>
    <x v="2"/>
    <d v="2024-08-24T00:00:00"/>
    <x v="1"/>
    <n v="10"/>
    <x v="0"/>
    <x v="1"/>
    <s v="-"/>
    <x v="0"/>
    <n v="20"/>
    <n v="5"/>
    <n v="25"/>
  </r>
  <r>
    <n v="3412"/>
    <x v="178"/>
    <x v="1"/>
    <d v="2024-08-25T00:00:00"/>
    <x v="0"/>
    <n v="5"/>
    <x v="1"/>
    <x v="1"/>
    <s v="-"/>
    <x v="1"/>
    <n v="0"/>
    <n v="0"/>
    <n v="5"/>
  </r>
  <r>
    <n v="3413"/>
    <x v="179"/>
    <x v="0"/>
    <d v="2024-08-26T00:00:00"/>
    <x v="1"/>
    <n v="15"/>
    <x v="2"/>
    <x v="0"/>
    <n v="30"/>
    <x v="0"/>
    <n v="20"/>
    <n v="20"/>
    <n v="45"/>
  </r>
  <r>
    <n v="3414"/>
    <x v="180"/>
    <x v="2"/>
    <d v="2024-08-27T00:00:00"/>
    <x v="0"/>
    <n v="10"/>
    <x v="2"/>
    <x v="1"/>
    <s v="-"/>
    <x v="0"/>
    <n v="20"/>
    <n v="12"/>
    <n v="18"/>
  </r>
  <r>
    <n v="3415"/>
    <x v="181"/>
    <x v="1"/>
    <d v="2024-08-28T00:00:00"/>
    <x v="1"/>
    <n v="5"/>
    <x v="0"/>
    <x v="1"/>
    <s v="-"/>
    <x v="1"/>
    <n v="0"/>
    <n v="2"/>
    <n v="3"/>
  </r>
  <r>
    <n v="3416"/>
    <x v="182"/>
    <x v="0"/>
    <d v="2024-08-29T00:00:00"/>
    <x v="0"/>
    <n v="15"/>
    <x v="1"/>
    <x v="0"/>
    <n v="30"/>
    <x v="0"/>
    <n v="20"/>
    <n v="5"/>
    <n v="60"/>
  </r>
  <r>
    <n v="3417"/>
    <x v="183"/>
    <x v="2"/>
    <d v="2024-08-30T00:00:00"/>
    <x v="1"/>
    <n v="10"/>
    <x v="0"/>
    <x v="1"/>
    <s v="-"/>
    <x v="0"/>
    <n v="20"/>
    <n v="10"/>
    <n v="20"/>
  </r>
  <r>
    <n v="3418"/>
    <x v="184"/>
    <x v="1"/>
    <d v="2024-08-31T00:00:00"/>
    <x v="0"/>
    <n v="5"/>
    <x v="2"/>
    <x v="1"/>
    <s v="-"/>
    <x v="1"/>
    <n v="0"/>
    <n v="0"/>
    <n v="5"/>
  </r>
  <r>
    <n v="3419"/>
    <x v="185"/>
    <x v="0"/>
    <d v="2024-09-01T00:00:00"/>
    <x v="1"/>
    <n v="15"/>
    <x v="0"/>
    <x v="0"/>
    <n v="30"/>
    <x v="0"/>
    <n v="20"/>
    <n v="3"/>
    <n v="62"/>
  </r>
  <r>
    <n v="3420"/>
    <x v="186"/>
    <x v="2"/>
    <d v="2024-09-02T00:00:00"/>
    <x v="0"/>
    <n v="10"/>
    <x v="1"/>
    <x v="1"/>
    <s v="-"/>
    <x v="0"/>
    <n v="20"/>
    <n v="15"/>
    <n v="15"/>
  </r>
  <r>
    <n v="3421"/>
    <x v="15"/>
    <x v="1"/>
    <d v="2024-09-03T00:00:00"/>
    <x v="1"/>
    <n v="5"/>
    <x v="0"/>
    <x v="1"/>
    <s v="-"/>
    <x v="1"/>
    <n v="0"/>
    <n v="1"/>
    <n v="4"/>
  </r>
  <r>
    <n v="3422"/>
    <x v="187"/>
    <x v="0"/>
    <d v="2024-09-04T00:00:00"/>
    <x v="0"/>
    <n v="15"/>
    <x v="2"/>
    <x v="0"/>
    <n v="30"/>
    <x v="0"/>
    <n v="20"/>
    <n v="7"/>
    <n v="58"/>
  </r>
  <r>
    <n v="3423"/>
    <x v="188"/>
    <x v="2"/>
    <d v="2024-09-05T00:00:00"/>
    <x v="1"/>
    <n v="10"/>
    <x v="0"/>
    <x v="1"/>
    <s v="-"/>
    <x v="0"/>
    <n v="20"/>
    <n v="10"/>
    <n v="20"/>
  </r>
  <r>
    <n v="3424"/>
    <x v="14"/>
    <x v="1"/>
    <d v="2024-09-06T00:00:00"/>
    <x v="0"/>
    <n v="5"/>
    <x v="1"/>
    <x v="1"/>
    <s v="-"/>
    <x v="1"/>
    <n v="0"/>
    <n v="0"/>
    <n v="5"/>
  </r>
  <r>
    <n v="3425"/>
    <x v="189"/>
    <x v="0"/>
    <d v="2024-09-07T00:00:00"/>
    <x v="1"/>
    <n v="15"/>
    <x v="0"/>
    <x v="0"/>
    <n v="30"/>
    <x v="0"/>
    <n v="20"/>
    <n v="20"/>
    <n v="45"/>
  </r>
  <r>
    <n v="3426"/>
    <x v="167"/>
    <x v="2"/>
    <d v="2024-09-08T00:00:00"/>
    <x v="0"/>
    <n v="10"/>
    <x v="2"/>
    <x v="1"/>
    <s v="-"/>
    <x v="0"/>
    <n v="20"/>
    <n v="15"/>
    <n v="15"/>
  </r>
  <r>
    <n v="3427"/>
    <x v="190"/>
    <x v="1"/>
    <d v="2024-09-09T00:00:00"/>
    <x v="1"/>
    <n v="5"/>
    <x v="0"/>
    <x v="1"/>
    <s v="-"/>
    <x v="1"/>
    <n v="0"/>
    <n v="1"/>
    <n v="4"/>
  </r>
  <r>
    <n v="3428"/>
    <x v="191"/>
    <x v="0"/>
    <d v="2024-09-10T00:00:00"/>
    <x v="0"/>
    <n v="15"/>
    <x v="1"/>
    <x v="0"/>
    <n v="30"/>
    <x v="0"/>
    <n v="20"/>
    <n v="3"/>
    <n v="62"/>
  </r>
  <r>
    <n v="3429"/>
    <x v="192"/>
    <x v="2"/>
    <d v="2024-09-11T00:00:00"/>
    <x v="1"/>
    <n v="10"/>
    <x v="0"/>
    <x v="1"/>
    <s v="-"/>
    <x v="0"/>
    <n v="20"/>
    <n v="10"/>
    <n v="20"/>
  </r>
  <r>
    <n v="3430"/>
    <x v="193"/>
    <x v="1"/>
    <d v="2024-09-12T00:00:00"/>
    <x v="0"/>
    <n v="5"/>
    <x v="2"/>
    <x v="1"/>
    <s v="-"/>
    <x v="1"/>
    <n v="0"/>
    <n v="0"/>
    <n v="5"/>
  </r>
  <r>
    <n v="3431"/>
    <x v="194"/>
    <x v="0"/>
    <d v="2024-09-13T00:00:00"/>
    <x v="1"/>
    <n v="15"/>
    <x v="0"/>
    <x v="0"/>
    <n v="30"/>
    <x v="0"/>
    <n v="20"/>
    <n v="15"/>
    <n v="50"/>
  </r>
  <r>
    <n v="3432"/>
    <x v="195"/>
    <x v="2"/>
    <d v="2024-09-14T00:00:00"/>
    <x v="0"/>
    <n v="10"/>
    <x v="1"/>
    <x v="1"/>
    <s v="-"/>
    <x v="0"/>
    <n v="20"/>
    <n v="15"/>
    <n v="15"/>
  </r>
  <r>
    <n v="3433"/>
    <x v="196"/>
    <x v="1"/>
    <d v="2024-09-15T00:00:00"/>
    <x v="1"/>
    <n v="5"/>
    <x v="0"/>
    <x v="1"/>
    <s v="-"/>
    <x v="1"/>
    <n v="0"/>
    <n v="1"/>
    <n v="4"/>
  </r>
  <r>
    <n v="3434"/>
    <x v="197"/>
    <x v="0"/>
    <d v="2024-09-16T00:00:00"/>
    <x v="0"/>
    <n v="15"/>
    <x v="2"/>
    <x v="0"/>
    <n v="30"/>
    <x v="0"/>
    <n v="20"/>
    <n v="7"/>
    <n v="58"/>
  </r>
  <r>
    <n v="3435"/>
    <x v="198"/>
    <x v="2"/>
    <d v="2024-09-17T00:00:00"/>
    <x v="1"/>
    <n v="10"/>
    <x v="0"/>
    <x v="1"/>
    <s v="-"/>
    <x v="0"/>
    <n v="20"/>
    <n v="10"/>
    <n v="20"/>
  </r>
  <r>
    <n v="3436"/>
    <x v="199"/>
    <x v="1"/>
    <d v="2024-09-18T00:00:00"/>
    <x v="0"/>
    <n v="5"/>
    <x v="0"/>
    <x v="1"/>
    <s v="-"/>
    <x v="1"/>
    <n v="0"/>
    <n v="0"/>
    <n v="5"/>
  </r>
  <r>
    <n v="3437"/>
    <x v="200"/>
    <x v="0"/>
    <d v="2024-09-19T00:00:00"/>
    <x v="1"/>
    <n v="15"/>
    <x v="2"/>
    <x v="0"/>
    <n v="30"/>
    <x v="0"/>
    <n v="20"/>
    <n v="7"/>
    <n v="58"/>
  </r>
  <r>
    <n v="3438"/>
    <x v="201"/>
    <x v="2"/>
    <d v="2024-09-20T00:00:00"/>
    <x v="0"/>
    <n v="10"/>
    <x v="1"/>
    <x v="1"/>
    <s v="-"/>
    <x v="0"/>
    <n v="20"/>
    <n v="10"/>
    <n v="20"/>
  </r>
  <r>
    <n v="3439"/>
    <x v="202"/>
    <x v="1"/>
    <d v="2024-09-21T00:00:00"/>
    <x v="1"/>
    <n v="5"/>
    <x v="2"/>
    <x v="1"/>
    <s v="-"/>
    <x v="1"/>
    <n v="0"/>
    <n v="1"/>
    <n v="4"/>
  </r>
  <r>
    <n v="3440"/>
    <x v="203"/>
    <x v="0"/>
    <d v="2024-09-22T00:00:00"/>
    <x v="0"/>
    <n v="15"/>
    <x v="0"/>
    <x v="0"/>
    <n v="30"/>
    <x v="0"/>
    <n v="20"/>
    <n v="15"/>
    <n v="50"/>
  </r>
  <r>
    <n v="3441"/>
    <x v="204"/>
    <x v="2"/>
    <d v="2024-09-23T00:00:00"/>
    <x v="1"/>
    <n v="10"/>
    <x v="0"/>
    <x v="1"/>
    <s v="-"/>
    <x v="0"/>
    <n v="20"/>
    <n v="5"/>
    <n v="25"/>
  </r>
  <r>
    <n v="3442"/>
    <x v="205"/>
    <x v="1"/>
    <d v="2024-09-24T00:00:00"/>
    <x v="0"/>
    <n v="5"/>
    <x v="1"/>
    <x v="1"/>
    <s v="-"/>
    <x v="1"/>
    <n v="0"/>
    <n v="0"/>
    <n v="5"/>
  </r>
  <r>
    <n v="3443"/>
    <x v="206"/>
    <x v="0"/>
    <d v="2024-09-25T00:00:00"/>
    <x v="1"/>
    <n v="15"/>
    <x v="2"/>
    <x v="0"/>
    <n v="30"/>
    <x v="0"/>
    <n v="20"/>
    <n v="20"/>
    <n v="45"/>
  </r>
  <r>
    <n v="3444"/>
    <x v="207"/>
    <x v="2"/>
    <d v="2024-09-26T00:00:00"/>
    <x v="0"/>
    <n v="10"/>
    <x v="2"/>
    <x v="1"/>
    <s v="-"/>
    <x v="0"/>
    <n v="20"/>
    <n v="12"/>
    <n v="18"/>
  </r>
  <r>
    <n v="3445"/>
    <x v="37"/>
    <x v="1"/>
    <d v="2024-09-27T00:00:00"/>
    <x v="1"/>
    <n v="5"/>
    <x v="0"/>
    <x v="1"/>
    <s v="-"/>
    <x v="1"/>
    <n v="0"/>
    <n v="2"/>
    <n v="3"/>
  </r>
  <r>
    <n v="3446"/>
    <x v="208"/>
    <x v="0"/>
    <d v="2024-09-28T00:00:00"/>
    <x v="0"/>
    <n v="15"/>
    <x v="1"/>
    <x v="0"/>
    <n v="30"/>
    <x v="0"/>
    <n v="20"/>
    <n v="5"/>
    <n v="60"/>
  </r>
  <r>
    <n v="3447"/>
    <x v="209"/>
    <x v="2"/>
    <d v="2024-09-29T00:00:00"/>
    <x v="1"/>
    <n v="10"/>
    <x v="0"/>
    <x v="1"/>
    <s v="-"/>
    <x v="0"/>
    <n v="20"/>
    <n v="10"/>
    <n v="20"/>
  </r>
  <r>
    <n v="3448"/>
    <x v="210"/>
    <x v="1"/>
    <d v="2024-09-30T00:00:00"/>
    <x v="0"/>
    <n v="5"/>
    <x v="2"/>
    <x v="1"/>
    <s v="-"/>
    <x v="1"/>
    <n v="0"/>
    <n v="0"/>
    <n v="5"/>
  </r>
  <r>
    <n v="3449"/>
    <x v="211"/>
    <x v="0"/>
    <d v="2024-10-01T00:00:00"/>
    <x v="1"/>
    <n v="15"/>
    <x v="0"/>
    <x v="0"/>
    <n v="30"/>
    <x v="0"/>
    <n v="20"/>
    <n v="3"/>
    <n v="62"/>
  </r>
  <r>
    <n v="3450"/>
    <x v="212"/>
    <x v="2"/>
    <d v="2024-10-02T00:00:00"/>
    <x v="0"/>
    <n v="10"/>
    <x v="1"/>
    <x v="1"/>
    <s v="-"/>
    <x v="0"/>
    <n v="20"/>
    <n v="15"/>
    <n v="15"/>
  </r>
  <r>
    <n v="3451"/>
    <x v="213"/>
    <x v="1"/>
    <d v="2024-10-03T00:00:00"/>
    <x v="1"/>
    <n v="5"/>
    <x v="0"/>
    <x v="1"/>
    <s v="-"/>
    <x v="1"/>
    <n v="0"/>
    <n v="1"/>
    <n v="4"/>
  </r>
  <r>
    <n v="3452"/>
    <x v="191"/>
    <x v="0"/>
    <d v="2024-10-04T00:00:00"/>
    <x v="0"/>
    <n v="15"/>
    <x v="2"/>
    <x v="0"/>
    <n v="30"/>
    <x v="0"/>
    <n v="20"/>
    <n v="7"/>
    <n v="58"/>
  </r>
  <r>
    <n v="3453"/>
    <x v="45"/>
    <x v="2"/>
    <d v="2024-10-05T00:00:00"/>
    <x v="1"/>
    <n v="10"/>
    <x v="0"/>
    <x v="1"/>
    <s v="-"/>
    <x v="0"/>
    <n v="20"/>
    <n v="10"/>
    <n v="20"/>
  </r>
  <r>
    <n v="3454"/>
    <x v="214"/>
    <x v="1"/>
    <d v="2024-10-06T00:00:00"/>
    <x v="0"/>
    <n v="5"/>
    <x v="1"/>
    <x v="1"/>
    <s v="-"/>
    <x v="1"/>
    <n v="0"/>
    <n v="0"/>
    <n v="5"/>
  </r>
  <r>
    <n v="3455"/>
    <x v="215"/>
    <x v="0"/>
    <d v="2024-10-07T00:00:00"/>
    <x v="1"/>
    <n v="15"/>
    <x v="0"/>
    <x v="0"/>
    <n v="30"/>
    <x v="0"/>
    <n v="20"/>
    <n v="20"/>
    <n v="45"/>
  </r>
  <r>
    <n v="3456"/>
    <x v="216"/>
    <x v="2"/>
    <d v="2024-10-08T00:00:00"/>
    <x v="0"/>
    <n v="10"/>
    <x v="2"/>
    <x v="1"/>
    <s v="-"/>
    <x v="0"/>
    <n v="20"/>
    <n v="15"/>
    <n v="15"/>
  </r>
  <r>
    <n v="3457"/>
    <x v="217"/>
    <x v="1"/>
    <d v="2024-10-09T00:00:00"/>
    <x v="1"/>
    <n v="5"/>
    <x v="0"/>
    <x v="1"/>
    <s v="-"/>
    <x v="1"/>
    <n v="0"/>
    <n v="1"/>
    <n v="4"/>
  </r>
  <r>
    <n v="3458"/>
    <x v="218"/>
    <x v="0"/>
    <d v="2024-10-10T00:00:00"/>
    <x v="0"/>
    <n v="15"/>
    <x v="1"/>
    <x v="0"/>
    <n v="30"/>
    <x v="0"/>
    <n v="20"/>
    <n v="3"/>
    <n v="62"/>
  </r>
  <r>
    <n v="3459"/>
    <x v="219"/>
    <x v="2"/>
    <d v="2024-10-11T00:00:00"/>
    <x v="1"/>
    <n v="10"/>
    <x v="0"/>
    <x v="1"/>
    <s v="-"/>
    <x v="0"/>
    <n v="20"/>
    <n v="10"/>
    <n v="20"/>
  </r>
  <r>
    <n v="3460"/>
    <x v="127"/>
    <x v="1"/>
    <d v="2024-10-12T00:00:00"/>
    <x v="0"/>
    <n v="5"/>
    <x v="2"/>
    <x v="1"/>
    <s v="-"/>
    <x v="1"/>
    <n v="0"/>
    <n v="0"/>
    <n v="5"/>
  </r>
  <r>
    <n v="3461"/>
    <x v="220"/>
    <x v="0"/>
    <d v="2024-10-13T00:00:00"/>
    <x v="1"/>
    <n v="15"/>
    <x v="0"/>
    <x v="0"/>
    <n v="30"/>
    <x v="0"/>
    <n v="20"/>
    <n v="15"/>
    <n v="50"/>
  </r>
  <r>
    <n v="3462"/>
    <x v="221"/>
    <x v="2"/>
    <d v="2024-10-14T00:00:00"/>
    <x v="0"/>
    <n v="10"/>
    <x v="1"/>
    <x v="1"/>
    <s v="-"/>
    <x v="0"/>
    <n v="20"/>
    <n v="15"/>
    <n v="15"/>
  </r>
  <r>
    <n v="3463"/>
    <x v="222"/>
    <x v="1"/>
    <d v="2024-10-15T00:00:00"/>
    <x v="1"/>
    <n v="5"/>
    <x v="0"/>
    <x v="1"/>
    <s v="-"/>
    <x v="1"/>
    <n v="0"/>
    <n v="1"/>
    <n v="4"/>
  </r>
  <r>
    <n v="3464"/>
    <x v="223"/>
    <x v="0"/>
    <d v="2024-10-16T00:00:00"/>
    <x v="0"/>
    <n v="15"/>
    <x v="2"/>
    <x v="0"/>
    <n v="30"/>
    <x v="0"/>
    <n v="20"/>
    <n v="7"/>
    <n v="58"/>
  </r>
  <r>
    <n v="3465"/>
    <x v="224"/>
    <x v="2"/>
    <d v="2024-10-17T00:00:00"/>
    <x v="1"/>
    <n v="10"/>
    <x v="0"/>
    <x v="1"/>
    <s v="-"/>
    <x v="0"/>
    <n v="20"/>
    <n v="10"/>
    <n v="20"/>
  </r>
  <r>
    <n v="3466"/>
    <x v="225"/>
    <x v="1"/>
    <d v="2024-10-18T00:00:00"/>
    <x v="0"/>
    <n v="5"/>
    <x v="1"/>
    <x v="1"/>
    <s v="-"/>
    <x v="1"/>
    <n v="0"/>
    <n v="0"/>
    <n v="5"/>
  </r>
  <r>
    <n v="3467"/>
    <x v="226"/>
    <x v="0"/>
    <d v="2024-10-19T00:00:00"/>
    <x v="1"/>
    <n v="15"/>
    <x v="0"/>
    <x v="0"/>
    <n v="30"/>
    <x v="0"/>
    <n v="20"/>
    <n v="15"/>
    <n v="50"/>
  </r>
  <r>
    <n v="3468"/>
    <x v="227"/>
    <x v="2"/>
    <d v="2024-10-20T00:00:00"/>
    <x v="0"/>
    <n v="10"/>
    <x v="2"/>
    <x v="1"/>
    <s v="-"/>
    <x v="0"/>
    <n v="20"/>
    <n v="12"/>
    <n v="18"/>
  </r>
  <r>
    <n v="3469"/>
    <x v="228"/>
    <x v="1"/>
    <d v="2024-10-21T00:00:00"/>
    <x v="1"/>
    <n v="5"/>
    <x v="0"/>
    <x v="1"/>
    <s v="-"/>
    <x v="1"/>
    <n v="0"/>
    <n v="2"/>
    <n v="3"/>
  </r>
  <r>
    <n v="3470"/>
    <x v="229"/>
    <x v="0"/>
    <d v="2024-10-22T00:00:00"/>
    <x v="0"/>
    <n v="15"/>
    <x v="1"/>
    <x v="0"/>
    <n v="30"/>
    <x v="0"/>
    <n v="20"/>
    <n v="5"/>
    <n v="60"/>
  </r>
  <r>
    <n v="3471"/>
    <x v="230"/>
    <x v="2"/>
    <d v="2024-10-23T00:00:00"/>
    <x v="1"/>
    <n v="10"/>
    <x v="0"/>
    <x v="1"/>
    <s v="-"/>
    <x v="0"/>
    <n v="20"/>
    <n v="10"/>
    <n v="20"/>
  </r>
  <r>
    <n v="3472"/>
    <x v="231"/>
    <x v="1"/>
    <d v="2024-10-24T00:00:00"/>
    <x v="0"/>
    <n v="5"/>
    <x v="2"/>
    <x v="1"/>
    <s v="-"/>
    <x v="1"/>
    <n v="0"/>
    <n v="0"/>
    <n v="5"/>
  </r>
  <r>
    <n v="3473"/>
    <x v="140"/>
    <x v="0"/>
    <d v="2024-10-25T00:00:00"/>
    <x v="1"/>
    <n v="15"/>
    <x v="0"/>
    <x v="0"/>
    <n v="30"/>
    <x v="0"/>
    <n v="20"/>
    <n v="3"/>
    <n v="62"/>
  </r>
  <r>
    <n v="3474"/>
    <x v="232"/>
    <x v="2"/>
    <d v="2024-10-26T00:00:00"/>
    <x v="0"/>
    <n v="10"/>
    <x v="1"/>
    <x v="1"/>
    <s v="-"/>
    <x v="0"/>
    <n v="20"/>
    <n v="15"/>
    <n v="15"/>
  </r>
  <r>
    <n v="3475"/>
    <x v="233"/>
    <x v="1"/>
    <d v="2024-10-27T00:00:00"/>
    <x v="1"/>
    <n v="5"/>
    <x v="0"/>
    <x v="1"/>
    <s v="-"/>
    <x v="1"/>
    <n v="0"/>
    <n v="1"/>
    <n v="4"/>
  </r>
  <r>
    <n v="3476"/>
    <x v="234"/>
    <x v="0"/>
    <d v="2024-10-28T00:00:00"/>
    <x v="0"/>
    <n v="15"/>
    <x v="2"/>
    <x v="0"/>
    <n v="30"/>
    <x v="0"/>
    <n v="20"/>
    <n v="7"/>
    <n v="58"/>
  </r>
  <r>
    <n v="3477"/>
    <x v="235"/>
    <x v="2"/>
    <d v="2024-10-29T00:00:00"/>
    <x v="1"/>
    <n v="10"/>
    <x v="0"/>
    <x v="1"/>
    <s v="-"/>
    <x v="0"/>
    <n v="20"/>
    <n v="10"/>
    <n v="20"/>
  </r>
  <r>
    <n v="3478"/>
    <x v="236"/>
    <x v="1"/>
    <d v="2024-10-30T00:00:00"/>
    <x v="0"/>
    <n v="5"/>
    <x v="1"/>
    <x v="1"/>
    <s v="-"/>
    <x v="1"/>
    <n v="0"/>
    <n v="0"/>
    <n v="5"/>
  </r>
  <r>
    <n v="3479"/>
    <x v="237"/>
    <x v="0"/>
    <d v="2024-10-31T00:00:00"/>
    <x v="1"/>
    <n v="15"/>
    <x v="0"/>
    <x v="0"/>
    <n v="30"/>
    <x v="0"/>
    <n v="20"/>
    <n v="20"/>
    <n v="45"/>
  </r>
  <r>
    <n v="3480"/>
    <x v="238"/>
    <x v="2"/>
    <d v="2024-11-01T00:00:00"/>
    <x v="0"/>
    <n v="10"/>
    <x v="2"/>
    <x v="1"/>
    <s v="-"/>
    <x v="0"/>
    <n v="20"/>
    <n v="15"/>
    <n v="15"/>
  </r>
  <r>
    <n v="3481"/>
    <x v="239"/>
    <x v="1"/>
    <d v="2024-11-02T00:00:00"/>
    <x v="1"/>
    <n v="5"/>
    <x v="0"/>
    <x v="1"/>
    <s v="-"/>
    <x v="1"/>
    <n v="0"/>
    <n v="1"/>
    <n v="4"/>
  </r>
  <r>
    <n v="3482"/>
    <x v="240"/>
    <x v="0"/>
    <d v="2024-11-03T00:00:00"/>
    <x v="0"/>
    <n v="15"/>
    <x v="1"/>
    <x v="0"/>
    <n v="30"/>
    <x v="0"/>
    <n v="20"/>
    <n v="3"/>
    <n v="62"/>
  </r>
  <r>
    <n v="3483"/>
    <x v="241"/>
    <x v="2"/>
    <d v="2024-11-04T00:00:00"/>
    <x v="1"/>
    <n v="10"/>
    <x v="0"/>
    <x v="1"/>
    <s v="-"/>
    <x v="0"/>
    <n v="20"/>
    <n v="10"/>
    <n v="20"/>
  </r>
  <r>
    <n v="3484"/>
    <x v="242"/>
    <x v="1"/>
    <d v="2024-11-05T00:00:00"/>
    <x v="0"/>
    <n v="5"/>
    <x v="2"/>
    <x v="1"/>
    <s v="-"/>
    <x v="1"/>
    <n v="0"/>
    <n v="0"/>
    <n v="5"/>
  </r>
  <r>
    <n v="3485"/>
    <x v="243"/>
    <x v="0"/>
    <d v="2024-11-06T00:00:00"/>
    <x v="1"/>
    <n v="15"/>
    <x v="0"/>
    <x v="0"/>
    <n v="30"/>
    <x v="0"/>
    <n v="20"/>
    <n v="15"/>
    <n v="50"/>
  </r>
  <r>
    <n v="3486"/>
    <x v="244"/>
    <x v="1"/>
    <d v="2024-11-07T00:00:00"/>
    <x v="0"/>
    <n v="5"/>
    <x v="0"/>
    <x v="1"/>
    <s v="-"/>
    <x v="1"/>
    <n v="0"/>
    <n v="0"/>
    <n v="5"/>
  </r>
  <r>
    <n v="3487"/>
    <x v="245"/>
    <x v="0"/>
    <d v="2024-11-08T00:00:00"/>
    <x v="1"/>
    <n v="15"/>
    <x v="2"/>
    <x v="0"/>
    <n v="30"/>
    <x v="0"/>
    <n v="20"/>
    <n v="7"/>
    <n v="58"/>
  </r>
  <r>
    <n v="3488"/>
    <x v="246"/>
    <x v="2"/>
    <d v="2024-11-09T00:00:00"/>
    <x v="0"/>
    <n v="10"/>
    <x v="1"/>
    <x v="1"/>
    <s v="-"/>
    <x v="0"/>
    <n v="20"/>
    <n v="10"/>
    <n v="20"/>
  </r>
  <r>
    <n v="3489"/>
    <x v="247"/>
    <x v="1"/>
    <d v="2024-11-10T00:00:00"/>
    <x v="1"/>
    <n v="5"/>
    <x v="2"/>
    <x v="1"/>
    <s v="-"/>
    <x v="1"/>
    <n v="0"/>
    <n v="1"/>
    <n v="4"/>
  </r>
  <r>
    <n v="3490"/>
    <x v="248"/>
    <x v="0"/>
    <d v="2024-11-11T00:00:00"/>
    <x v="0"/>
    <n v="15"/>
    <x v="0"/>
    <x v="0"/>
    <n v="30"/>
    <x v="0"/>
    <n v="20"/>
    <n v="15"/>
    <n v="50"/>
  </r>
  <r>
    <n v="3491"/>
    <x v="249"/>
    <x v="2"/>
    <d v="2024-11-12T00:00:00"/>
    <x v="1"/>
    <n v="10"/>
    <x v="0"/>
    <x v="1"/>
    <s v="-"/>
    <x v="0"/>
    <n v="20"/>
    <n v="5"/>
    <n v="25"/>
  </r>
  <r>
    <n v="3492"/>
    <x v="250"/>
    <x v="1"/>
    <d v="2024-11-13T00:00:00"/>
    <x v="0"/>
    <n v="5"/>
    <x v="1"/>
    <x v="1"/>
    <s v="-"/>
    <x v="1"/>
    <n v="0"/>
    <n v="0"/>
    <n v="5"/>
  </r>
  <r>
    <n v="3493"/>
    <x v="251"/>
    <x v="0"/>
    <d v="2024-11-14T00:00:00"/>
    <x v="1"/>
    <n v="15"/>
    <x v="2"/>
    <x v="0"/>
    <n v="30"/>
    <x v="0"/>
    <n v="20"/>
    <n v="20"/>
    <n v="45"/>
  </r>
  <r>
    <n v="3494"/>
    <x v="252"/>
    <x v="2"/>
    <d v="2024-11-15T00:00:00"/>
    <x v="0"/>
    <n v="10"/>
    <x v="2"/>
    <x v="1"/>
    <s v="-"/>
    <x v="0"/>
    <n v="20"/>
    <n v="12"/>
    <n v="18"/>
  </r>
  <r>
    <n v="3495"/>
    <x v="253"/>
    <x v="1"/>
    <d v="2024-11-16T00:00:00"/>
    <x v="1"/>
    <n v="5"/>
    <x v="0"/>
    <x v="1"/>
    <s v="-"/>
    <x v="1"/>
    <n v="0"/>
    <n v="2"/>
    <n v="3"/>
  </r>
  <r>
    <n v="3496"/>
    <x v="254"/>
    <x v="0"/>
    <d v="2024-11-17T00:00:00"/>
    <x v="0"/>
    <n v="15"/>
    <x v="1"/>
    <x v="0"/>
    <n v="30"/>
    <x v="0"/>
    <n v="20"/>
    <n v="5"/>
    <n v="60"/>
  </r>
  <r>
    <n v="3497"/>
    <x v="255"/>
    <x v="2"/>
    <d v="2024-11-18T00:00:00"/>
    <x v="1"/>
    <n v="10"/>
    <x v="0"/>
    <x v="1"/>
    <s v="-"/>
    <x v="0"/>
    <n v="20"/>
    <n v="10"/>
    <n v="20"/>
  </r>
  <r>
    <n v="3498"/>
    <x v="256"/>
    <x v="1"/>
    <d v="2024-11-19T00:00:00"/>
    <x v="0"/>
    <n v="5"/>
    <x v="2"/>
    <x v="1"/>
    <s v="-"/>
    <x v="1"/>
    <n v="0"/>
    <n v="0"/>
    <n v="5"/>
  </r>
  <r>
    <n v="3499"/>
    <x v="257"/>
    <x v="0"/>
    <d v="2024-11-20T00:00:00"/>
    <x v="1"/>
    <n v="15"/>
    <x v="0"/>
    <x v="0"/>
    <n v="30"/>
    <x v="0"/>
    <n v="20"/>
    <n v="3"/>
    <n v="62"/>
  </r>
  <r>
    <n v="3500"/>
    <x v="258"/>
    <x v="2"/>
    <d v="2024-11-21T00:00:00"/>
    <x v="0"/>
    <n v="10"/>
    <x v="1"/>
    <x v="1"/>
    <s v="-"/>
    <x v="0"/>
    <n v="20"/>
    <n v="15"/>
    <n v="15"/>
  </r>
  <r>
    <n v="3501"/>
    <x v="259"/>
    <x v="1"/>
    <d v="2024-11-22T00:00:00"/>
    <x v="1"/>
    <n v="5"/>
    <x v="0"/>
    <x v="1"/>
    <s v="-"/>
    <x v="1"/>
    <n v="0"/>
    <n v="1"/>
    <n v="4"/>
  </r>
  <r>
    <n v="3502"/>
    <x v="260"/>
    <x v="0"/>
    <d v="2024-11-23T00:00:00"/>
    <x v="0"/>
    <n v="15"/>
    <x v="2"/>
    <x v="0"/>
    <n v="30"/>
    <x v="0"/>
    <n v="20"/>
    <n v="7"/>
    <n v="58"/>
  </r>
  <r>
    <n v="3503"/>
    <x v="119"/>
    <x v="2"/>
    <d v="2024-11-24T00:00:00"/>
    <x v="1"/>
    <n v="10"/>
    <x v="0"/>
    <x v="1"/>
    <s v="-"/>
    <x v="0"/>
    <n v="20"/>
    <n v="10"/>
    <n v="20"/>
  </r>
  <r>
    <n v="3504"/>
    <x v="261"/>
    <x v="1"/>
    <d v="2024-11-25T00:00:00"/>
    <x v="0"/>
    <n v="5"/>
    <x v="1"/>
    <x v="1"/>
    <s v="-"/>
    <x v="1"/>
    <n v="0"/>
    <n v="0"/>
    <n v="5"/>
  </r>
  <r>
    <n v="3505"/>
    <x v="262"/>
    <x v="0"/>
    <d v="2024-11-26T00:00:00"/>
    <x v="1"/>
    <n v="15"/>
    <x v="0"/>
    <x v="0"/>
    <n v="30"/>
    <x v="0"/>
    <n v="20"/>
    <n v="20"/>
    <n v="45"/>
  </r>
  <r>
    <n v="3506"/>
    <x v="263"/>
    <x v="2"/>
    <d v="2024-11-27T00:00:00"/>
    <x v="0"/>
    <n v="10"/>
    <x v="2"/>
    <x v="1"/>
    <s v="-"/>
    <x v="0"/>
    <n v="20"/>
    <n v="15"/>
    <n v="15"/>
  </r>
  <r>
    <n v="3507"/>
    <x v="264"/>
    <x v="1"/>
    <d v="2024-11-28T00:00:00"/>
    <x v="1"/>
    <n v="5"/>
    <x v="0"/>
    <x v="1"/>
    <s v="-"/>
    <x v="1"/>
    <n v="0"/>
    <n v="1"/>
    <n v="4"/>
  </r>
  <r>
    <n v="3508"/>
    <x v="265"/>
    <x v="0"/>
    <d v="2024-11-29T00:00:00"/>
    <x v="0"/>
    <n v="15"/>
    <x v="1"/>
    <x v="0"/>
    <n v="30"/>
    <x v="0"/>
    <n v="20"/>
    <n v="3"/>
    <n v="62"/>
  </r>
  <r>
    <n v="3509"/>
    <x v="266"/>
    <x v="2"/>
    <d v="2024-11-30T00:00:00"/>
    <x v="1"/>
    <n v="10"/>
    <x v="0"/>
    <x v="1"/>
    <s v="-"/>
    <x v="0"/>
    <n v="20"/>
    <n v="10"/>
    <n v="20"/>
  </r>
  <r>
    <n v="3510"/>
    <x v="267"/>
    <x v="1"/>
    <d v="2024-12-01T00:00:00"/>
    <x v="0"/>
    <n v="5"/>
    <x v="2"/>
    <x v="1"/>
    <s v="-"/>
    <x v="1"/>
    <n v="0"/>
    <n v="0"/>
    <n v="5"/>
  </r>
  <r>
    <n v="3511"/>
    <x v="268"/>
    <x v="0"/>
    <d v="2024-12-02T00:00:00"/>
    <x v="1"/>
    <n v="15"/>
    <x v="0"/>
    <x v="0"/>
    <n v="30"/>
    <x v="0"/>
    <n v="20"/>
    <n v="15"/>
    <n v="50"/>
  </r>
  <r>
    <n v="3512"/>
    <x v="269"/>
    <x v="2"/>
    <d v="2024-12-03T00:00:00"/>
    <x v="0"/>
    <n v="10"/>
    <x v="1"/>
    <x v="1"/>
    <s v="-"/>
    <x v="0"/>
    <n v="20"/>
    <n v="15"/>
    <n v="15"/>
  </r>
  <r>
    <n v="3513"/>
    <x v="270"/>
    <x v="1"/>
    <d v="2024-12-04T00:00:00"/>
    <x v="1"/>
    <n v="5"/>
    <x v="0"/>
    <x v="1"/>
    <s v="-"/>
    <x v="1"/>
    <n v="0"/>
    <n v="1"/>
    <n v="4"/>
  </r>
  <r>
    <n v="3514"/>
    <x v="271"/>
    <x v="0"/>
    <d v="2024-12-05T00:00:00"/>
    <x v="0"/>
    <n v="15"/>
    <x v="2"/>
    <x v="0"/>
    <n v="30"/>
    <x v="0"/>
    <n v="20"/>
    <n v="7"/>
    <n v="58"/>
  </r>
  <r>
    <n v="3515"/>
    <x v="130"/>
    <x v="2"/>
    <d v="2024-12-06T00:00:00"/>
    <x v="1"/>
    <n v="10"/>
    <x v="0"/>
    <x v="1"/>
    <s v="-"/>
    <x v="0"/>
    <n v="20"/>
    <n v="10"/>
    <n v="20"/>
  </r>
  <r>
    <n v="3516"/>
    <x v="131"/>
    <x v="1"/>
    <d v="2024-12-07T00:00:00"/>
    <x v="0"/>
    <n v="5"/>
    <x v="1"/>
    <x v="1"/>
    <s v="-"/>
    <x v="1"/>
    <n v="0"/>
    <n v="0"/>
    <n v="5"/>
  </r>
  <r>
    <n v="3517"/>
    <x v="181"/>
    <x v="0"/>
    <d v="2024-12-08T00:00:00"/>
    <x v="1"/>
    <n v="15"/>
    <x v="0"/>
    <x v="0"/>
    <n v="30"/>
    <x v="0"/>
    <n v="20"/>
    <n v="20"/>
    <n v="45"/>
  </r>
  <r>
    <n v="3518"/>
    <x v="272"/>
    <x v="2"/>
    <d v="2024-12-09T00:00:00"/>
    <x v="0"/>
    <n v="10"/>
    <x v="2"/>
    <x v="1"/>
    <s v="-"/>
    <x v="0"/>
    <n v="20"/>
    <n v="12"/>
    <n v="18"/>
  </r>
  <r>
    <n v="3519"/>
    <x v="273"/>
    <x v="1"/>
    <d v="2024-12-10T00:00:00"/>
    <x v="1"/>
    <n v="5"/>
    <x v="0"/>
    <x v="1"/>
    <s v="-"/>
    <x v="1"/>
    <n v="0"/>
    <n v="2"/>
    <n v="3"/>
  </r>
  <r>
    <n v="3520"/>
    <x v="274"/>
    <x v="0"/>
    <d v="2024-12-11T00:00:00"/>
    <x v="0"/>
    <n v="15"/>
    <x v="1"/>
    <x v="0"/>
    <n v="30"/>
    <x v="0"/>
    <n v="20"/>
    <n v="5"/>
    <n v="60"/>
  </r>
  <r>
    <n v="3521"/>
    <x v="275"/>
    <x v="2"/>
    <d v="2024-12-12T00:00:00"/>
    <x v="1"/>
    <n v="10"/>
    <x v="0"/>
    <x v="1"/>
    <s v="-"/>
    <x v="0"/>
    <n v="20"/>
    <n v="10"/>
    <n v="20"/>
  </r>
  <r>
    <n v="3522"/>
    <x v="276"/>
    <x v="1"/>
    <d v="2024-12-13T00:00:00"/>
    <x v="0"/>
    <n v="5"/>
    <x v="2"/>
    <x v="1"/>
    <s v="-"/>
    <x v="1"/>
    <n v="0"/>
    <n v="0"/>
    <n v="5"/>
  </r>
  <r>
    <n v="3523"/>
    <x v="277"/>
    <x v="0"/>
    <d v="2024-12-14T00:00:00"/>
    <x v="1"/>
    <n v="15"/>
    <x v="0"/>
    <x v="0"/>
    <n v="30"/>
    <x v="0"/>
    <n v="20"/>
    <n v="3"/>
    <n v="62"/>
  </r>
  <r>
    <n v="3524"/>
    <x v="278"/>
    <x v="2"/>
    <d v="2024-12-15T00:00:00"/>
    <x v="0"/>
    <n v="10"/>
    <x v="1"/>
    <x v="1"/>
    <s v="-"/>
    <x v="0"/>
    <n v="20"/>
    <n v="15"/>
    <n v="15"/>
  </r>
  <r>
    <n v="3525"/>
    <x v="279"/>
    <x v="1"/>
    <d v="2024-12-16T00:00:00"/>
    <x v="1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2347C-A365-40D3-A007-703975BA3422}" name="Tabela dinâmica5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3">
  <location ref="A45:B48" firstHeaderRow="1" firstDataRow="1" firstDataCol="1" rowPageCount="2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3">
    <i>
      <x v="1"/>
    </i>
    <i>
      <x v="2"/>
    </i>
    <i t="grand">
      <x/>
    </i>
  </rowItems>
  <colItems count="1">
    <i/>
  </colItems>
  <pageFields count="2">
    <pageField fld="6" item="0" hier="-1"/>
    <pageField fld="9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D4BE2-F5D5-4E87-A4B8-8B540F2C19A5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3">
  <location ref="A35:B37" firstHeaderRow="1" firstDataRow="1" firstDataCol="1" rowPageCount="2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2">
    <i>
      <x v="2"/>
    </i>
    <i t="grand">
      <x/>
    </i>
  </rowItems>
  <colItems count="1">
    <i/>
  </colItems>
  <pageFields count="2">
    <pageField fld="6" item="0" hier="-1"/>
    <pageField fld="7" item="1" hier="-1"/>
  </pageFields>
  <dataFields count="1">
    <dataField name="Soma de EA Play Season Pass_x000a_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AA608-D2B5-48E2-ABCD-AE5812E1BD41}" name="tbl_annual_total_rnw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3">
  <location ref="A17:B2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 v="1"/>
    </i>
    <i>
      <x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A2D36-E975-4622-8756-C9380BAF3447}" name="tbl_annual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7:B9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showAll="0"/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2">
    <i>
      <x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2214768-B2A6-4D1C-8863-01B955AD52EA}" sourceName="Subscription Type">
  <pivotTables>
    <pivotTable tabId="3" name="tbl_annual_total_rnw"/>
    <pivotTable tabId="3" name="Tabela dinâmica3"/>
    <pivotTable tabId="3" name="tbl_annual_total"/>
    <pivotTable tabId="3" name="Tabela dinâmica5"/>
  </pivotTables>
  <data>
    <tabular pivotCacheId="210166332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2CCF014-C9A9-4C10-9926-73E7C11CD6C2}" cache="SegmentaçãodeDados_Subscription_Type" caption="Subscription Type" style="SlicerStyleLight3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9CBCC632-C354-4A32-B8BE-282F94EA7D1A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sortState xmlns:xlrd2="http://schemas.microsoft.com/office/spreadsheetml/2017/richdata2" ref="A2:M296">
    <sortCondition ref="A1:A296"/>
  </sortState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: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61" zoomScale="90" zoomScaleNormal="90" workbookViewId="0">
      <selection sqref="A1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C48"/>
  <sheetViews>
    <sheetView showGridLines="0" topLeftCell="A28" workbookViewId="0">
      <selection activeCell="C49" sqref="C49"/>
    </sheetView>
  </sheetViews>
  <sheetFormatPr defaultRowHeight="15" x14ac:dyDescent="0.25"/>
  <cols>
    <col min="1" max="1" width="21.140625" bestFit="1" customWidth="1"/>
    <col min="2" max="2" width="35.140625" bestFit="1" customWidth="1"/>
    <col min="3" max="3" width="37.710937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2" x14ac:dyDescent="0.25">
      <c r="A1" t="s">
        <v>316</v>
      </c>
    </row>
    <row r="2" spans="1:2" x14ac:dyDescent="0.25">
      <c r="A2" t="s">
        <v>317</v>
      </c>
    </row>
    <row r="3" spans="1:2" x14ac:dyDescent="0.25">
      <c r="A3" s="13" t="s">
        <v>319</v>
      </c>
    </row>
    <row r="4" spans="1:2" x14ac:dyDescent="0.25">
      <c r="A4" s="13" t="s">
        <v>322</v>
      </c>
    </row>
    <row r="5" spans="1:2" x14ac:dyDescent="0.25">
      <c r="A5" s="13"/>
    </row>
    <row r="6" spans="1:2" x14ac:dyDescent="0.25">
      <c r="A6" s="13"/>
    </row>
    <row r="7" spans="1:2" x14ac:dyDescent="0.25">
      <c r="A7" s="12" t="s">
        <v>313</v>
      </c>
      <c r="B7" t="s">
        <v>315</v>
      </c>
    </row>
    <row r="8" spans="1:2" x14ac:dyDescent="0.25">
      <c r="A8" s="13" t="s">
        <v>24</v>
      </c>
      <c r="B8" s="14">
        <v>1754</v>
      </c>
    </row>
    <row r="9" spans="1:2" x14ac:dyDescent="0.25">
      <c r="A9" s="13" t="s">
        <v>314</v>
      </c>
      <c r="B9" s="14">
        <v>1754</v>
      </c>
    </row>
    <row r="12" spans="1:2" x14ac:dyDescent="0.25">
      <c r="A12" s="13"/>
      <c r="B12" s="14"/>
    </row>
    <row r="13" spans="1:2" x14ac:dyDescent="0.25">
      <c r="A13" s="13"/>
      <c r="B13" s="14"/>
    </row>
    <row r="14" spans="1:2" x14ac:dyDescent="0.25">
      <c r="A14" s="13"/>
      <c r="B14" s="14"/>
    </row>
    <row r="15" spans="1:2" x14ac:dyDescent="0.25">
      <c r="A15" s="12" t="s">
        <v>16</v>
      </c>
      <c r="B15" t="s">
        <v>24</v>
      </c>
    </row>
    <row r="17" spans="1:2" x14ac:dyDescent="0.25">
      <c r="A17" s="12" t="s">
        <v>313</v>
      </c>
      <c r="B17" t="s">
        <v>315</v>
      </c>
    </row>
    <row r="18" spans="1:2" x14ac:dyDescent="0.25">
      <c r="A18" s="13" t="s">
        <v>19</v>
      </c>
      <c r="B18" s="14">
        <v>1537</v>
      </c>
    </row>
    <row r="19" spans="1:2" x14ac:dyDescent="0.25">
      <c r="A19" s="13" t="s">
        <v>23</v>
      </c>
      <c r="B19" s="14">
        <v>217</v>
      </c>
    </row>
    <row r="20" spans="1:2" x14ac:dyDescent="0.25">
      <c r="A20" s="13" t="s">
        <v>314</v>
      </c>
      <c r="B20" s="14">
        <v>1754</v>
      </c>
    </row>
    <row r="32" spans="1:2" x14ac:dyDescent="0.25">
      <c r="A32" s="12" t="s">
        <v>16</v>
      </c>
      <c r="B32" t="s">
        <v>24</v>
      </c>
    </row>
    <row r="33" spans="1:3" x14ac:dyDescent="0.25">
      <c r="A33" s="12" t="s">
        <v>309</v>
      </c>
      <c r="B33" t="s">
        <v>19</v>
      </c>
    </row>
    <row r="35" spans="1:3" x14ac:dyDescent="0.25">
      <c r="A35" s="12" t="s">
        <v>313</v>
      </c>
      <c r="B35" t="s">
        <v>320</v>
      </c>
    </row>
    <row r="36" spans="1:3" x14ac:dyDescent="0.25">
      <c r="A36" s="13" t="s">
        <v>18</v>
      </c>
      <c r="B36" s="16">
        <v>600</v>
      </c>
      <c r="C36" s="17">
        <f>GETPIVOTDATA("EA Play Season Pass
Price",$A$35,"Plan","Ultimate")</f>
        <v>600</v>
      </c>
    </row>
    <row r="37" spans="1:3" x14ac:dyDescent="0.25">
      <c r="A37" s="13" t="s">
        <v>314</v>
      </c>
      <c r="B37" s="16">
        <v>600</v>
      </c>
    </row>
    <row r="42" spans="1:3" x14ac:dyDescent="0.25">
      <c r="A42" s="12" t="s">
        <v>16</v>
      </c>
      <c r="B42" t="s">
        <v>24</v>
      </c>
    </row>
    <row r="43" spans="1:3" x14ac:dyDescent="0.25">
      <c r="A43" s="12" t="s">
        <v>30</v>
      </c>
      <c r="B43" t="s">
        <v>19</v>
      </c>
    </row>
    <row r="45" spans="1:3" x14ac:dyDescent="0.25">
      <c r="A45" s="12" t="s">
        <v>313</v>
      </c>
      <c r="B45" t="s">
        <v>321</v>
      </c>
    </row>
    <row r="46" spans="1:3" x14ac:dyDescent="0.25">
      <c r="A46" s="13" t="s">
        <v>26</v>
      </c>
      <c r="B46" s="14">
        <v>540</v>
      </c>
      <c r="C46" s="17">
        <f>GETPIVOTDATA("Minecraft Season Pass Price",$A$45)</f>
        <v>940</v>
      </c>
    </row>
    <row r="47" spans="1:3" x14ac:dyDescent="0.25">
      <c r="A47" s="13" t="s">
        <v>18</v>
      </c>
      <c r="B47" s="14">
        <v>400</v>
      </c>
    </row>
    <row r="48" spans="1:3" x14ac:dyDescent="0.25">
      <c r="A48" s="13" t="s">
        <v>314</v>
      </c>
      <c r="B48" s="14">
        <v>940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34"/>
  <sheetViews>
    <sheetView showGridLines="0" tabSelected="1" zoomScaleNormal="100" workbookViewId="0">
      <selection activeCell="P9" sqref="P9"/>
    </sheetView>
  </sheetViews>
  <sheetFormatPr defaultRowHeight="15" x14ac:dyDescent="0.25"/>
  <cols>
    <col min="1" max="1" width="27.7109375" customWidth="1"/>
    <col min="2" max="2" width="3.5703125" customWidth="1"/>
    <col min="9" max="9" width="15.5703125" bestFit="1" customWidth="1"/>
    <col min="12" max="12" width="6.5703125" customWidth="1"/>
  </cols>
  <sheetData>
    <row r="1" spans="1:23" x14ac:dyDescent="0.25">
      <c r="A1" s="3"/>
    </row>
    <row r="2" spans="1:23" ht="33.75" customHeight="1" thickBot="1" x14ac:dyDescent="0.3">
      <c r="A2" s="3"/>
      <c r="D2" s="15" t="s">
        <v>318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33.75" customHeight="1" thickTop="1" x14ac:dyDescent="0.25">
      <c r="A3" s="3"/>
    </row>
    <row r="4" spans="1:23" ht="8.25" customHeight="1" x14ac:dyDescent="0.25">
      <c r="A4" s="3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x14ac:dyDescent="0.25">
      <c r="A5" s="3"/>
      <c r="B5" s="7"/>
      <c r="C5" s="19" t="s">
        <v>323</v>
      </c>
      <c r="D5" s="21"/>
      <c r="E5" s="21"/>
      <c r="F5" s="21"/>
      <c r="G5" s="21"/>
      <c r="H5" s="21"/>
      <c r="I5" s="20">
        <f ca="1">NOW()</f>
        <v>45760.934859837966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0.5" customHeight="1" x14ac:dyDescent="0.25">
      <c r="A6" s="3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7.5" customHeight="1" x14ac:dyDescent="0.25">
      <c r="A7" s="3"/>
      <c r="B7" s="7"/>
      <c r="C7" s="19"/>
      <c r="D7" s="21"/>
      <c r="E7" s="21"/>
      <c r="F7" s="21"/>
      <c r="G7" s="21"/>
      <c r="H7" s="21"/>
      <c r="I7" s="20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1.25" customHeight="1" x14ac:dyDescent="0.25">
      <c r="A8" s="3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25">
      <c r="A9" s="3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x14ac:dyDescent="0.25">
      <c r="A10" s="3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x14ac:dyDescent="0.25">
      <c r="A11" s="3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25">
      <c r="A12" s="3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25">
      <c r="A13" s="3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25">
      <c r="A14" s="3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25">
      <c r="A15" s="3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x14ac:dyDescent="0.25">
      <c r="A16" s="3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25">
      <c r="A17" s="3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25">
      <c r="A18" s="3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25">
      <c r="A19" s="3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25">
      <c r="A20" s="3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25">
      <c r="A21" s="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25">
      <c r="A22" s="3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25">
      <c r="A23" s="3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5">
      <c r="A24" s="3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5">
      <c r="A25" s="3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5">
      <c r="A26" s="3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5">
      <c r="A27" s="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5">
      <c r="A28" s="3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25">
      <c r="A29" s="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5">
      <c r="A30" s="3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5">
      <c r="A31" s="3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25">
      <c r="A32" s="3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25">
      <c r="A33" s="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25">
      <c r="A34" s="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Renan Siqueira</cp:lastModifiedBy>
  <dcterms:created xsi:type="dcterms:W3CDTF">2024-12-19T13:13:10Z</dcterms:created>
  <dcterms:modified xsi:type="dcterms:W3CDTF">2025-04-14T01:26:20Z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